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3"/>
  </bookViews>
  <sheets>
    <sheet name="课堂表现" sheetId="14" r:id="rId1"/>
    <sheet name="课外学习" sheetId="16" r:id="rId2"/>
    <sheet name="期间测验" sheetId="17" r:id="rId3"/>
    <sheet name="实验成绩" sheetId="13" r:id="rId4"/>
    <sheet name="大作业" sheetId="15" r:id="rId5"/>
    <sheet name="汇总成绩" sheetId="19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<sst xmlns="http://schemas.openxmlformats.org/spreadsheetml/2006/main" count="576" uniqueCount="163">
  <si>
    <t>《移动应用开发》课堂表现</t>
  </si>
  <si>
    <t>学号</t>
  </si>
  <si>
    <t>姓名</t>
  </si>
  <si>
    <t>知识图谱</t>
  </si>
  <si>
    <t>TRAE</t>
  </si>
  <si>
    <t>原生</t>
  </si>
  <si>
    <t>AS</t>
  </si>
  <si>
    <t>iOS</t>
  </si>
  <si>
    <t>Typora</t>
  </si>
  <si>
    <t>混合</t>
  </si>
  <si>
    <t>小程序</t>
  </si>
  <si>
    <t>PUML</t>
  </si>
  <si>
    <t>开发计划</t>
  </si>
  <si>
    <t>原始分</t>
  </si>
  <si>
    <t>最后得分</t>
  </si>
  <si>
    <t>2020211034</t>
  </si>
  <si>
    <t>张梦杰</t>
  </si>
  <si>
    <t>2020213700</t>
  </si>
  <si>
    <t>童其凡</t>
  </si>
  <si>
    <t>2022210331</t>
  </si>
  <si>
    <t>曹安晨</t>
  </si>
  <si>
    <t>2022210332</t>
  </si>
  <si>
    <t>陈晨</t>
  </si>
  <si>
    <t>2022210333</t>
  </si>
  <si>
    <t>陈创东</t>
  </si>
  <si>
    <t>2022210334</t>
  </si>
  <si>
    <t>程纪阳</t>
  </si>
  <si>
    <t>2022210335</t>
  </si>
  <si>
    <t>程梦圆</t>
  </si>
  <si>
    <t>2022210337</t>
  </si>
  <si>
    <t>邓慧茹</t>
  </si>
  <si>
    <t>2022210338</t>
  </si>
  <si>
    <t>丁玉耀</t>
  </si>
  <si>
    <t>2022210339</t>
  </si>
  <si>
    <t>范鑫蕊</t>
  </si>
  <si>
    <t>2022210342</t>
  </si>
  <si>
    <t>高恩鹏</t>
  </si>
  <si>
    <t>2022210343</t>
  </si>
  <si>
    <t>关雪艳</t>
  </si>
  <si>
    <t>2022210344</t>
  </si>
  <si>
    <t>郭新杰</t>
  </si>
  <si>
    <t>2022210346</t>
  </si>
  <si>
    <t>洪晓瑞</t>
  </si>
  <si>
    <t>2022210347</t>
  </si>
  <si>
    <t>胡步兴</t>
  </si>
  <si>
    <t>2022210348</t>
  </si>
  <si>
    <t>胡昊泱</t>
  </si>
  <si>
    <t>2022210351</t>
  </si>
  <si>
    <t>季玮</t>
  </si>
  <si>
    <t>2022210359</t>
  </si>
  <si>
    <t>李宝航</t>
  </si>
  <si>
    <t>2022210360</t>
  </si>
  <si>
    <t>李浩</t>
  </si>
  <si>
    <t>2022210361</t>
  </si>
  <si>
    <t>李今朝</t>
  </si>
  <si>
    <t>2022210362</t>
  </si>
  <si>
    <t>李良辰</t>
  </si>
  <si>
    <t/>
  </si>
  <si>
    <t>2022210367</t>
  </si>
  <si>
    <t>梁平</t>
  </si>
  <si>
    <t>2022210371</t>
  </si>
  <si>
    <t>陆征宇</t>
  </si>
  <si>
    <t>2022210374</t>
  </si>
  <si>
    <t>苗佳宇</t>
  </si>
  <si>
    <t>2022210376</t>
  </si>
  <si>
    <t>庞雨俊</t>
  </si>
  <si>
    <t>2022210378</t>
  </si>
  <si>
    <t>戚锐</t>
  </si>
  <si>
    <t>2022210380</t>
  </si>
  <si>
    <t>任奕凯</t>
  </si>
  <si>
    <t>2022210381</t>
  </si>
  <si>
    <t>阮珧</t>
  </si>
  <si>
    <t>2022210384</t>
  </si>
  <si>
    <t>孙嘉婧</t>
  </si>
  <si>
    <t>2022210385</t>
  </si>
  <si>
    <t>孙锦年</t>
  </si>
  <si>
    <t>2022210387</t>
  </si>
  <si>
    <t>唐蕊</t>
  </si>
  <si>
    <t>2022210389</t>
  </si>
  <si>
    <t>汪海洋</t>
  </si>
  <si>
    <t>2022210392</t>
  </si>
  <si>
    <t>王瑞</t>
  </si>
  <si>
    <t>2022210393</t>
  </si>
  <si>
    <t>王鑫玥</t>
  </si>
  <si>
    <t>2022210394</t>
  </si>
  <si>
    <t>王志成</t>
  </si>
  <si>
    <t>2022210400</t>
  </si>
  <si>
    <t>闫鹏飞</t>
  </si>
  <si>
    <t>2022210401</t>
  </si>
  <si>
    <t>杨浩天</t>
  </si>
  <si>
    <t>2022210402</t>
  </si>
  <si>
    <t>杨龙</t>
  </si>
  <si>
    <t>2022210404</t>
  </si>
  <si>
    <t>詹庆</t>
  </si>
  <si>
    <t>2022210405</t>
  </si>
  <si>
    <t>张金龙</t>
  </si>
  <si>
    <t>2022210407</t>
  </si>
  <si>
    <t>张克</t>
  </si>
  <si>
    <t>2022210411</t>
  </si>
  <si>
    <t>张文抱</t>
  </si>
  <si>
    <t>2022210414</t>
  </si>
  <si>
    <t>张玉妍</t>
  </si>
  <si>
    <t>2022210416</t>
  </si>
  <si>
    <t>赵杰</t>
  </si>
  <si>
    <t>2022210417</t>
  </si>
  <si>
    <t>郑存耀</t>
  </si>
  <si>
    <t>2022210422</t>
  </si>
  <si>
    <t>周宇</t>
  </si>
  <si>
    <t>2022210423</t>
  </si>
  <si>
    <t>朱传双</t>
  </si>
  <si>
    <t>2022210428</t>
  </si>
  <si>
    <t>朱世俊</t>
  </si>
  <si>
    <t>2022210429</t>
  </si>
  <si>
    <t>祝文耿</t>
  </si>
  <si>
    <t>2022210430</t>
  </si>
  <si>
    <t>宗梦晴</t>
  </si>
  <si>
    <t>《移动应用开发》课外学习</t>
  </si>
  <si>
    <t>课程考核大作业1——项目启动</t>
  </si>
  <si>
    <t>课程考核大作业2——核心开发</t>
  </si>
  <si>
    <t>课程考核大作业3——系统整合</t>
  </si>
  <si>
    <t>课程考核大作业4——测试交付</t>
  </si>
  <si>
    <t>考核报告1——答辩报告</t>
  </si>
  <si>
    <t>考核报告2——个人报告</t>
  </si>
  <si>
    <t>考核报告3——小组报告</t>
  </si>
  <si>
    <t>考核报告4——项目报告</t>
  </si>
  <si>
    <t>课程考试大作业</t>
  </si>
  <si>
    <t>平均分</t>
  </si>
  <si>
    <t>《移动应用开发》期间测验</t>
  </si>
  <si>
    <t>作业1概述</t>
  </si>
  <si>
    <t>作业2原生Android</t>
  </si>
  <si>
    <t>作业3原生iOS</t>
  </si>
  <si>
    <t>作业4原生应用开发</t>
  </si>
  <si>
    <t>作业5Flutter混合应用</t>
  </si>
  <si>
    <t>作业6Cordova&amp;UniApp混合应用</t>
  </si>
  <si>
    <t>作业7 MAUI&amp;&amp;WXMiniApp</t>
  </si>
  <si>
    <t>作业8小程序2</t>
  </si>
  <si>
    <t>作业9华为多端应用开发1</t>
  </si>
  <si>
    <t>作业10华为多端应用开发2</t>
  </si>
  <si>
    <t>《移动应用开发》实验成绩</t>
  </si>
  <si>
    <t>实验一</t>
  </si>
  <si>
    <t>实验二</t>
  </si>
  <si>
    <t>实验三</t>
  </si>
  <si>
    <t>实验四</t>
  </si>
  <si>
    <t>实验五</t>
  </si>
  <si>
    <t>实验六</t>
  </si>
  <si>
    <t>实验七</t>
  </si>
  <si>
    <t>《移动应用开发》课程考核大作业         2025.11.24</t>
  </si>
  <si>
    <t>项目(30%)</t>
  </si>
  <si>
    <t>小组(20%)</t>
  </si>
  <si>
    <t>个人(20%)</t>
  </si>
  <si>
    <t>答辩(30%)</t>
  </si>
  <si>
    <t>总分(2位)</t>
  </si>
  <si>
    <t>总分</t>
  </si>
  <si>
    <t>《移动应用开发》成绩汇总表</t>
  </si>
  <si>
    <t>平时(20%)</t>
  </si>
  <si>
    <t>实验（30%）</t>
  </si>
  <si>
    <t>大作业（50%）</t>
  </si>
  <si>
    <t>总成绩</t>
  </si>
  <si>
    <t>课堂表现(20%)</t>
  </si>
  <si>
    <t>课外学习(50%)</t>
  </si>
  <si>
    <t>期间测验(30%)</t>
  </si>
  <si>
    <t>平时小计</t>
  </si>
  <si>
    <t>旷缺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</si>
</sst>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</numFmts>
  <fonts count="28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Arial"/>
      <charset val="0"/>
    </font>
    <font>
      <sz val="11"/>
      <color theme="1"/>
      <name val="宋体"/>
      <charset val="0"/>
    </font>
    <font>
      <sz val="11"/>
      <name val="宋体"/>
      <charset val="134"/>
      <scheme val="minor"/>
    </font>
    <font>
      <sz val="11"/>
      <name val="Arial"/>
      <charset val="0"/>
    </font>
    <font>
      <sz val="11"/>
      <name val="宋体"/>
      <charset val="0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176" fontId="2" fillId="0" borderId="1" xfId="0" applyNumberFormat="1" applyFont="1" applyFill="1" applyBorder="1" applyAlignment="1"/>
    <xf numFmtId="176" fontId="2" fillId="0" borderId="1" xfId="0" applyNumberFormat="1" applyFont="1" applyBorder="1">
      <alignment vertical="center"/>
    </xf>
    <xf numFmtId="176" fontId="2" fillId="0" borderId="1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177" fontId="5" fillId="0" borderId="1" xfId="0" applyNumberFormat="1" applyFont="1" applyFill="1" applyBorder="1" applyAlignment="1"/>
    <xf numFmtId="178" fontId="5" fillId="0" borderId="1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176" fontId="0" fillId="0" borderId="1" xfId="0" applyNumberFormat="1" applyFont="1" applyBorder="1">
      <alignment vertical="center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176" fontId="0" fillId="0" borderId="1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5-2026\&#31227;&#21160;&#24212;&#29992;&#24320;&#21457;\&#35745;&#31185;22&#36873;50&#20154;&#12298;&#31227;&#21160;&#24212;&#29992;&#24320;&#21457;&#12299;&#32771;&#26597;&#24402;&#26723;&#26448;&#26009;+&#21016;&#19996;&#33391;\&#35745;&#31185;22&#12298;&#31227;&#21160;&#24212;&#29992;&#24320;&#21457;&#12299;&#35760;&#20998;&#20876;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综合成绩"/>
      <sheetName val="综合成绩（各权重项百分制得分）"/>
      <sheetName val="学生学习进度详情"/>
      <sheetName val="章节学习次数"/>
      <sheetName val="任务点完成详情"/>
      <sheetName val="音视频观看详情"/>
      <sheetName val="讨论参与详情"/>
      <sheetName val="作业统计"/>
      <sheetName val="作业"/>
      <sheetName val="考试统计"/>
      <sheetName val="章节测验统计"/>
      <sheetName val="线下成绩统计"/>
      <sheetName val="班级教学内容详情"/>
      <sheetName val="大作业"/>
      <sheetName val="实验成绩"/>
      <sheetName val="课堂表现"/>
      <sheetName val="课外学习"/>
      <sheetName val="期间测验"/>
      <sheetName val="汇总成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 t="str">
            <v>张梦杰</v>
          </cell>
          <cell r="B5" t="str">
            <v>2020211034</v>
          </cell>
        </row>
        <row r="5">
          <cell r="F5">
            <v>80</v>
          </cell>
        </row>
        <row r="5">
          <cell r="O5">
            <v>80</v>
          </cell>
        </row>
        <row r="5">
          <cell r="X5">
            <v>80</v>
          </cell>
        </row>
        <row r="5">
          <cell r="AG5">
            <v>100</v>
          </cell>
        </row>
        <row r="5">
          <cell r="AM5">
            <v>70</v>
          </cell>
        </row>
        <row r="5">
          <cell r="AP5">
            <v>70</v>
          </cell>
        </row>
        <row r="5">
          <cell r="BB5">
            <v>70</v>
          </cell>
        </row>
        <row r="6">
          <cell r="A6" t="str">
            <v>童其凡</v>
          </cell>
          <cell r="B6" t="str">
            <v>2020213700</v>
          </cell>
        </row>
        <row r="6">
          <cell r="F6">
            <v>90</v>
          </cell>
        </row>
        <row r="6">
          <cell r="O6">
            <v>90</v>
          </cell>
        </row>
        <row r="6">
          <cell r="X6">
            <v>80</v>
          </cell>
        </row>
        <row r="6">
          <cell r="AG6">
            <v>100</v>
          </cell>
        </row>
        <row r="6">
          <cell r="AM6">
            <v>60</v>
          </cell>
        </row>
        <row r="6">
          <cell r="AP6">
            <v>90</v>
          </cell>
        </row>
        <row r="6">
          <cell r="BB6">
            <v>70</v>
          </cell>
        </row>
        <row r="7">
          <cell r="A7" t="str">
            <v>曹安晨</v>
          </cell>
          <cell r="B7" t="str">
            <v>2022210331</v>
          </cell>
        </row>
        <row r="7">
          <cell r="F7">
            <v>100</v>
          </cell>
        </row>
        <row r="7">
          <cell r="O7">
            <v>90</v>
          </cell>
        </row>
        <row r="7">
          <cell r="X7">
            <v>100</v>
          </cell>
        </row>
        <row r="7">
          <cell r="AG7">
            <v>100</v>
          </cell>
        </row>
        <row r="7">
          <cell r="AM7">
            <v>70</v>
          </cell>
        </row>
        <row r="7">
          <cell r="AP7">
            <v>80</v>
          </cell>
        </row>
        <row r="7">
          <cell r="BB7">
            <v>70</v>
          </cell>
        </row>
        <row r="8">
          <cell r="A8" t="str">
            <v>陈晨</v>
          </cell>
          <cell r="B8" t="str">
            <v>2022210332</v>
          </cell>
        </row>
        <row r="8">
          <cell r="F8">
            <v>100</v>
          </cell>
        </row>
        <row r="8">
          <cell r="O8">
            <v>90</v>
          </cell>
        </row>
        <row r="8">
          <cell r="X8">
            <v>70</v>
          </cell>
        </row>
        <row r="8">
          <cell r="AG8">
            <v>100</v>
          </cell>
        </row>
        <row r="8">
          <cell r="AM8">
            <v>80</v>
          </cell>
        </row>
        <row r="8">
          <cell r="AP8">
            <v>90</v>
          </cell>
        </row>
        <row r="8">
          <cell r="BB8">
            <v>70</v>
          </cell>
        </row>
        <row r="9">
          <cell r="A9" t="str">
            <v>陈创东</v>
          </cell>
          <cell r="B9" t="str">
            <v>2022210333</v>
          </cell>
        </row>
        <row r="9">
          <cell r="F9">
            <v>100</v>
          </cell>
        </row>
        <row r="9">
          <cell r="O9">
            <v>60</v>
          </cell>
        </row>
        <row r="9">
          <cell r="X9">
            <v>70</v>
          </cell>
        </row>
        <row r="9">
          <cell r="AG9">
            <v>80</v>
          </cell>
        </row>
        <row r="9">
          <cell r="AM9">
            <v>95</v>
          </cell>
        </row>
        <row r="9">
          <cell r="AP9">
            <v>90</v>
          </cell>
        </row>
        <row r="9">
          <cell r="BB9">
            <v>60</v>
          </cell>
        </row>
        <row r="10">
          <cell r="A10" t="str">
            <v>程纪阳</v>
          </cell>
          <cell r="B10" t="str">
            <v>2022210334</v>
          </cell>
        </row>
        <row r="10">
          <cell r="F10">
            <v>80</v>
          </cell>
        </row>
        <row r="10">
          <cell r="O10">
            <v>100</v>
          </cell>
        </row>
        <row r="10">
          <cell r="X10">
            <v>100</v>
          </cell>
        </row>
        <row r="10">
          <cell r="AG10">
            <v>100</v>
          </cell>
        </row>
        <row r="10">
          <cell r="AM10">
            <v>80</v>
          </cell>
        </row>
        <row r="10">
          <cell r="AP10">
            <v>80</v>
          </cell>
        </row>
        <row r="10">
          <cell r="BB10">
            <v>80</v>
          </cell>
        </row>
        <row r="11">
          <cell r="A11" t="str">
            <v>程梦圆</v>
          </cell>
          <cell r="B11" t="str">
            <v>2022210335</v>
          </cell>
        </row>
        <row r="11">
          <cell r="F11">
            <v>100</v>
          </cell>
        </row>
        <row r="11">
          <cell r="O11">
            <v>90</v>
          </cell>
        </row>
        <row r="11">
          <cell r="X11">
            <v>80</v>
          </cell>
        </row>
        <row r="11">
          <cell r="AG11">
            <v>100</v>
          </cell>
        </row>
        <row r="11">
          <cell r="AM11">
            <v>80</v>
          </cell>
        </row>
        <row r="11">
          <cell r="AP11">
            <v>70</v>
          </cell>
        </row>
        <row r="11">
          <cell r="BB11">
            <v>70</v>
          </cell>
        </row>
        <row r="12">
          <cell r="A12" t="str">
            <v>邓慧茹</v>
          </cell>
          <cell r="B12" t="str">
            <v>2022210337</v>
          </cell>
        </row>
        <row r="12">
          <cell r="F12">
            <v>100</v>
          </cell>
        </row>
        <row r="12">
          <cell r="O12">
            <v>80</v>
          </cell>
        </row>
        <row r="12">
          <cell r="X12">
            <v>95</v>
          </cell>
        </row>
        <row r="12">
          <cell r="AG12">
            <v>90</v>
          </cell>
        </row>
        <row r="12">
          <cell r="AM12">
            <v>80</v>
          </cell>
        </row>
        <row r="12">
          <cell r="AP12">
            <v>60</v>
          </cell>
        </row>
        <row r="12">
          <cell r="BB12">
            <v>70</v>
          </cell>
        </row>
        <row r="13">
          <cell r="A13" t="str">
            <v>丁玉耀</v>
          </cell>
          <cell r="B13" t="str">
            <v>2022210338</v>
          </cell>
        </row>
        <row r="14">
          <cell r="A14" t="str">
            <v>范鑫蕊</v>
          </cell>
          <cell r="B14" t="str">
            <v>2022210339</v>
          </cell>
        </row>
        <row r="14">
          <cell r="F14">
            <v>100</v>
          </cell>
        </row>
        <row r="14">
          <cell r="O14">
            <v>80</v>
          </cell>
        </row>
        <row r="14">
          <cell r="X14">
            <v>90</v>
          </cell>
        </row>
        <row r="14">
          <cell r="AG14">
            <v>80</v>
          </cell>
        </row>
        <row r="14">
          <cell r="AM14">
            <v>70</v>
          </cell>
        </row>
        <row r="14">
          <cell r="AP14">
            <v>80</v>
          </cell>
        </row>
        <row r="14">
          <cell r="BB14">
            <v>70</v>
          </cell>
        </row>
        <row r="15">
          <cell r="A15" t="str">
            <v>高恩鹏</v>
          </cell>
          <cell r="B15" t="str">
            <v>2022210342</v>
          </cell>
        </row>
        <row r="15">
          <cell r="F15">
            <v>100</v>
          </cell>
        </row>
        <row r="15">
          <cell r="O15">
            <v>100</v>
          </cell>
        </row>
        <row r="15">
          <cell r="X15">
            <v>80</v>
          </cell>
        </row>
        <row r="15">
          <cell r="AG15">
            <v>100</v>
          </cell>
        </row>
        <row r="15">
          <cell r="AM15">
            <v>80</v>
          </cell>
        </row>
        <row r="15">
          <cell r="AP15">
            <v>80</v>
          </cell>
        </row>
        <row r="15">
          <cell r="BB15">
            <v>95</v>
          </cell>
        </row>
        <row r="16">
          <cell r="A16" t="str">
            <v>关雪艳</v>
          </cell>
          <cell r="B16" t="str">
            <v>2022210343</v>
          </cell>
        </row>
        <row r="16">
          <cell r="F16">
            <v>100</v>
          </cell>
        </row>
        <row r="16">
          <cell r="O16">
            <v>80</v>
          </cell>
        </row>
        <row r="16">
          <cell r="X16">
            <v>90</v>
          </cell>
        </row>
        <row r="16">
          <cell r="AG16">
            <v>95</v>
          </cell>
        </row>
        <row r="16">
          <cell r="AM16">
            <v>80</v>
          </cell>
        </row>
        <row r="16">
          <cell r="AP16">
            <v>80</v>
          </cell>
        </row>
        <row r="16">
          <cell r="BB16">
            <v>70</v>
          </cell>
        </row>
        <row r="17">
          <cell r="A17" t="str">
            <v>郭新杰</v>
          </cell>
          <cell r="B17" t="str">
            <v>2022210344</v>
          </cell>
        </row>
        <row r="17">
          <cell r="F17">
            <v>100</v>
          </cell>
        </row>
        <row r="17">
          <cell r="O17">
            <v>90</v>
          </cell>
        </row>
        <row r="17">
          <cell r="X17">
            <v>70</v>
          </cell>
        </row>
        <row r="17">
          <cell r="AG17">
            <v>100</v>
          </cell>
        </row>
        <row r="17">
          <cell r="AM17">
            <v>80</v>
          </cell>
        </row>
        <row r="17">
          <cell r="AP17">
            <v>70</v>
          </cell>
        </row>
        <row r="17">
          <cell r="BB17">
            <v>70</v>
          </cell>
        </row>
        <row r="18">
          <cell r="A18" t="str">
            <v>洪晓瑞</v>
          </cell>
          <cell r="B18" t="str">
            <v>2022210346</v>
          </cell>
        </row>
        <row r="18">
          <cell r="F18">
            <v>100</v>
          </cell>
        </row>
        <row r="18">
          <cell r="O18">
            <v>100</v>
          </cell>
        </row>
        <row r="18">
          <cell r="X18">
            <v>80</v>
          </cell>
        </row>
        <row r="18">
          <cell r="AG18">
            <v>100</v>
          </cell>
        </row>
        <row r="18">
          <cell r="AM18">
            <v>70</v>
          </cell>
        </row>
        <row r="18">
          <cell r="AP18">
            <v>80</v>
          </cell>
        </row>
        <row r="18">
          <cell r="BB18">
            <v>95</v>
          </cell>
        </row>
        <row r="19">
          <cell r="A19" t="str">
            <v>胡步兴</v>
          </cell>
          <cell r="B19" t="str">
            <v>2022210347</v>
          </cell>
        </row>
        <row r="19">
          <cell r="F19">
            <v>100</v>
          </cell>
        </row>
        <row r="19">
          <cell r="O19">
            <v>90</v>
          </cell>
        </row>
        <row r="19">
          <cell r="X19">
            <v>90</v>
          </cell>
        </row>
        <row r="19">
          <cell r="AG19">
            <v>95</v>
          </cell>
        </row>
        <row r="19">
          <cell r="AM19">
            <v>90</v>
          </cell>
        </row>
        <row r="19">
          <cell r="AP19">
            <v>80</v>
          </cell>
        </row>
        <row r="19">
          <cell r="BB19">
            <v>70</v>
          </cell>
        </row>
        <row r="20">
          <cell r="A20" t="str">
            <v>胡昊泱</v>
          </cell>
          <cell r="B20" t="str">
            <v>2022210348</v>
          </cell>
        </row>
        <row r="20">
          <cell r="F20">
            <v>100</v>
          </cell>
        </row>
        <row r="20">
          <cell r="O20">
            <v>80</v>
          </cell>
        </row>
        <row r="20">
          <cell r="X20">
            <v>70</v>
          </cell>
        </row>
        <row r="20">
          <cell r="AG20">
            <v>100</v>
          </cell>
        </row>
        <row r="20">
          <cell r="AM20">
            <v>80</v>
          </cell>
        </row>
        <row r="20">
          <cell r="AP20">
            <v>70</v>
          </cell>
        </row>
        <row r="20">
          <cell r="BB20">
            <v>70</v>
          </cell>
        </row>
        <row r="21">
          <cell r="A21" t="str">
            <v>季玮</v>
          </cell>
          <cell r="B21" t="str">
            <v>2022210351</v>
          </cell>
        </row>
        <row r="21">
          <cell r="F21">
            <v>100</v>
          </cell>
        </row>
        <row r="21">
          <cell r="O21">
            <v>80</v>
          </cell>
        </row>
        <row r="21">
          <cell r="X21">
            <v>100</v>
          </cell>
        </row>
        <row r="21">
          <cell r="AG21">
            <v>100</v>
          </cell>
        </row>
        <row r="21">
          <cell r="AM21">
            <v>90</v>
          </cell>
        </row>
        <row r="21">
          <cell r="AP21">
            <v>80</v>
          </cell>
        </row>
        <row r="21">
          <cell r="BB21">
            <v>70</v>
          </cell>
        </row>
        <row r="22">
          <cell r="A22" t="str">
            <v>李宝航</v>
          </cell>
          <cell r="B22" t="str">
            <v>2022210359</v>
          </cell>
        </row>
        <row r="23">
          <cell r="A23" t="str">
            <v>李浩</v>
          </cell>
          <cell r="B23" t="str">
            <v>2022210360</v>
          </cell>
        </row>
        <row r="23">
          <cell r="F23">
            <v>100</v>
          </cell>
        </row>
        <row r="23">
          <cell r="O23">
            <v>95</v>
          </cell>
        </row>
        <row r="23">
          <cell r="X23">
            <v>80</v>
          </cell>
        </row>
        <row r="23">
          <cell r="AG23">
            <v>100</v>
          </cell>
        </row>
        <row r="23">
          <cell r="AM23">
            <v>90</v>
          </cell>
        </row>
        <row r="23">
          <cell r="AP23">
            <v>80</v>
          </cell>
        </row>
        <row r="23">
          <cell r="BB23">
            <v>70</v>
          </cell>
        </row>
        <row r="24">
          <cell r="A24" t="str">
            <v>李今朝</v>
          </cell>
          <cell r="B24" t="str">
            <v>2022210361</v>
          </cell>
        </row>
        <row r="24">
          <cell r="F24">
            <v>100</v>
          </cell>
        </row>
        <row r="24">
          <cell r="O24">
            <v>90</v>
          </cell>
        </row>
        <row r="24">
          <cell r="X24">
            <v>80</v>
          </cell>
        </row>
        <row r="24">
          <cell r="AG24">
            <v>100</v>
          </cell>
        </row>
        <row r="24">
          <cell r="AM24">
            <v>70</v>
          </cell>
        </row>
        <row r="24">
          <cell r="BB24">
            <v>60</v>
          </cell>
        </row>
        <row r="25">
          <cell r="A25" t="str">
            <v>李良辰</v>
          </cell>
          <cell r="B25" t="str">
            <v>2022210362</v>
          </cell>
        </row>
        <row r="25">
          <cell r="F25">
            <v>100</v>
          </cell>
        </row>
        <row r="25">
          <cell r="O25">
            <v>80</v>
          </cell>
        </row>
        <row r="25">
          <cell r="X25">
            <v>70</v>
          </cell>
        </row>
        <row r="25">
          <cell r="AG25">
            <v>90</v>
          </cell>
        </row>
        <row r="25">
          <cell r="AM25">
            <v>50</v>
          </cell>
        </row>
        <row r="25">
          <cell r="AP25">
            <v>80</v>
          </cell>
        </row>
        <row r="25">
          <cell r="BB25">
            <v>50</v>
          </cell>
        </row>
        <row r="26">
          <cell r="A26" t="str">
            <v>梁平</v>
          </cell>
          <cell r="B26" t="str">
            <v>2022210367</v>
          </cell>
        </row>
        <row r="26">
          <cell r="F26">
            <v>80</v>
          </cell>
        </row>
        <row r="26">
          <cell r="O26">
            <v>90</v>
          </cell>
        </row>
        <row r="26">
          <cell r="X26">
            <v>80</v>
          </cell>
        </row>
        <row r="26">
          <cell r="AG26">
            <v>100</v>
          </cell>
        </row>
        <row r="26">
          <cell r="AM26">
            <v>60</v>
          </cell>
        </row>
        <row r="26">
          <cell r="AP26">
            <v>90</v>
          </cell>
        </row>
        <row r="26">
          <cell r="BB26">
            <v>60</v>
          </cell>
        </row>
        <row r="27">
          <cell r="A27" t="str">
            <v>陆征宇</v>
          </cell>
          <cell r="B27" t="str">
            <v>2022210371</v>
          </cell>
        </row>
        <row r="27">
          <cell r="F27">
            <v>80</v>
          </cell>
        </row>
        <row r="27">
          <cell r="O27">
            <v>90</v>
          </cell>
        </row>
        <row r="27">
          <cell r="X27">
            <v>100</v>
          </cell>
        </row>
        <row r="27">
          <cell r="AG27">
            <v>90</v>
          </cell>
        </row>
        <row r="27">
          <cell r="AM27">
            <v>70</v>
          </cell>
        </row>
        <row r="27">
          <cell r="AP27">
            <v>70</v>
          </cell>
        </row>
        <row r="27">
          <cell r="BB27">
            <v>70</v>
          </cell>
        </row>
        <row r="28">
          <cell r="A28" t="str">
            <v>苗佳宇</v>
          </cell>
          <cell r="B28" t="str">
            <v>2022210374</v>
          </cell>
        </row>
        <row r="28">
          <cell r="F28">
            <v>100</v>
          </cell>
        </row>
        <row r="28">
          <cell r="O28">
            <v>100</v>
          </cell>
        </row>
        <row r="28">
          <cell r="X28">
            <v>95</v>
          </cell>
        </row>
        <row r="28">
          <cell r="AG28">
            <v>100</v>
          </cell>
        </row>
        <row r="28">
          <cell r="AM28">
            <v>70</v>
          </cell>
        </row>
        <row r="28">
          <cell r="AP28">
            <v>80</v>
          </cell>
        </row>
        <row r="28">
          <cell r="BB28">
            <v>80</v>
          </cell>
        </row>
        <row r="29">
          <cell r="A29" t="str">
            <v>庞雨俊</v>
          </cell>
          <cell r="B29" t="str">
            <v>2022210376</v>
          </cell>
        </row>
        <row r="29">
          <cell r="F29">
            <v>100</v>
          </cell>
        </row>
        <row r="29">
          <cell r="O29">
            <v>80</v>
          </cell>
        </row>
        <row r="29">
          <cell r="X29">
            <v>70</v>
          </cell>
        </row>
        <row r="29">
          <cell r="AG29">
            <v>100</v>
          </cell>
        </row>
        <row r="29">
          <cell r="AM29">
            <v>70</v>
          </cell>
        </row>
        <row r="29">
          <cell r="AP29">
            <v>70</v>
          </cell>
        </row>
        <row r="29">
          <cell r="BB29">
            <v>95</v>
          </cell>
        </row>
        <row r="30">
          <cell r="A30" t="str">
            <v>戚锐</v>
          </cell>
          <cell r="B30" t="str">
            <v>2022210378</v>
          </cell>
        </row>
        <row r="30">
          <cell r="F30">
            <v>100</v>
          </cell>
        </row>
        <row r="30">
          <cell r="O30">
            <v>100</v>
          </cell>
        </row>
        <row r="30">
          <cell r="X30">
            <v>100</v>
          </cell>
        </row>
        <row r="30">
          <cell r="AG30">
            <v>100</v>
          </cell>
        </row>
        <row r="30">
          <cell r="AM30">
            <v>95</v>
          </cell>
        </row>
        <row r="30">
          <cell r="AP30">
            <v>80</v>
          </cell>
        </row>
        <row r="30">
          <cell r="BB30">
            <v>80</v>
          </cell>
        </row>
        <row r="31">
          <cell r="A31" t="str">
            <v>任奕凯</v>
          </cell>
          <cell r="B31" t="str">
            <v>2022210380</v>
          </cell>
        </row>
        <row r="31">
          <cell r="F31">
            <v>100</v>
          </cell>
        </row>
        <row r="31">
          <cell r="O31">
            <v>80</v>
          </cell>
        </row>
        <row r="31">
          <cell r="X31">
            <v>70</v>
          </cell>
        </row>
        <row r="31">
          <cell r="AG31">
            <v>100</v>
          </cell>
        </row>
        <row r="31">
          <cell r="AM31">
            <v>80</v>
          </cell>
        </row>
        <row r="31">
          <cell r="AP31">
            <v>80</v>
          </cell>
        </row>
        <row r="31">
          <cell r="BB31">
            <v>70</v>
          </cell>
        </row>
        <row r="32">
          <cell r="A32" t="str">
            <v>阮珧</v>
          </cell>
          <cell r="B32" t="str">
            <v>2022210381</v>
          </cell>
        </row>
        <row r="32">
          <cell r="F32">
            <v>80</v>
          </cell>
        </row>
        <row r="32">
          <cell r="O32">
            <v>80</v>
          </cell>
        </row>
        <row r="32">
          <cell r="X32">
            <v>80</v>
          </cell>
        </row>
        <row r="32">
          <cell r="AG32">
            <v>80</v>
          </cell>
        </row>
        <row r="32">
          <cell r="AM32">
            <v>60</v>
          </cell>
        </row>
        <row r="32">
          <cell r="AP32">
            <v>80</v>
          </cell>
        </row>
        <row r="32">
          <cell r="BB32">
            <v>60</v>
          </cell>
        </row>
        <row r="33">
          <cell r="A33" t="str">
            <v>孙嘉婧</v>
          </cell>
          <cell r="B33" t="str">
            <v>2022210384</v>
          </cell>
        </row>
        <row r="33">
          <cell r="F33">
            <v>80</v>
          </cell>
        </row>
        <row r="33">
          <cell r="O33">
            <v>70</v>
          </cell>
        </row>
        <row r="33">
          <cell r="X33">
            <v>80</v>
          </cell>
        </row>
        <row r="33">
          <cell r="AG33">
            <v>100</v>
          </cell>
        </row>
        <row r="33">
          <cell r="AM33">
            <v>80</v>
          </cell>
        </row>
        <row r="33">
          <cell r="AP33">
            <v>80</v>
          </cell>
        </row>
        <row r="33">
          <cell r="BB33">
            <v>70</v>
          </cell>
        </row>
        <row r="34">
          <cell r="A34" t="str">
            <v>孙锦年</v>
          </cell>
          <cell r="B34" t="str">
            <v>2022210385</v>
          </cell>
        </row>
        <row r="34">
          <cell r="F34">
            <v>100</v>
          </cell>
        </row>
        <row r="34">
          <cell r="O34">
            <v>80</v>
          </cell>
        </row>
        <row r="34">
          <cell r="X34">
            <v>80</v>
          </cell>
        </row>
        <row r="34">
          <cell r="AG34">
            <v>80</v>
          </cell>
        </row>
        <row r="34">
          <cell r="AM34">
            <v>80</v>
          </cell>
        </row>
        <row r="34">
          <cell r="AP34">
            <v>80</v>
          </cell>
        </row>
        <row r="34">
          <cell r="BB34">
            <v>60</v>
          </cell>
        </row>
        <row r="35">
          <cell r="A35" t="str">
            <v>唐蕊</v>
          </cell>
          <cell r="B35" t="str">
            <v>2022210387</v>
          </cell>
        </row>
        <row r="35">
          <cell r="F35">
            <v>90</v>
          </cell>
        </row>
        <row r="35">
          <cell r="O35">
            <v>80</v>
          </cell>
        </row>
        <row r="35">
          <cell r="X35">
            <v>80</v>
          </cell>
        </row>
        <row r="35">
          <cell r="AG35">
            <v>100</v>
          </cell>
        </row>
        <row r="35">
          <cell r="AM35">
            <v>90</v>
          </cell>
        </row>
        <row r="35">
          <cell r="AP35">
            <v>80</v>
          </cell>
        </row>
        <row r="35">
          <cell r="BB35">
            <v>70</v>
          </cell>
        </row>
        <row r="36">
          <cell r="A36" t="str">
            <v>汪海洋</v>
          </cell>
          <cell r="B36" t="str">
            <v>2022210389</v>
          </cell>
        </row>
        <row r="36">
          <cell r="F36">
            <v>100</v>
          </cell>
        </row>
        <row r="36">
          <cell r="O36">
            <v>60</v>
          </cell>
        </row>
        <row r="36">
          <cell r="X36">
            <v>90</v>
          </cell>
        </row>
        <row r="36">
          <cell r="AG36">
            <v>90</v>
          </cell>
        </row>
        <row r="36">
          <cell r="AM36">
            <v>80</v>
          </cell>
        </row>
        <row r="36">
          <cell r="AP36">
            <v>80</v>
          </cell>
        </row>
        <row r="36">
          <cell r="BB36">
            <v>70</v>
          </cell>
        </row>
        <row r="37">
          <cell r="A37" t="str">
            <v>王瑞</v>
          </cell>
          <cell r="B37" t="str">
            <v>2022210392</v>
          </cell>
        </row>
        <row r="37">
          <cell r="F37">
            <v>100</v>
          </cell>
        </row>
        <row r="37">
          <cell r="O37">
            <v>100</v>
          </cell>
        </row>
        <row r="37">
          <cell r="X37">
            <v>70</v>
          </cell>
        </row>
        <row r="37">
          <cell r="AG37">
            <v>100</v>
          </cell>
        </row>
        <row r="37">
          <cell r="AM37">
            <v>80</v>
          </cell>
        </row>
        <row r="37">
          <cell r="AP37">
            <v>80</v>
          </cell>
        </row>
        <row r="37">
          <cell r="BB37">
            <v>70</v>
          </cell>
        </row>
        <row r="38">
          <cell r="A38" t="str">
            <v>王鑫玥</v>
          </cell>
          <cell r="B38" t="str">
            <v>2022210393</v>
          </cell>
        </row>
        <row r="38">
          <cell r="F38">
            <v>100</v>
          </cell>
        </row>
        <row r="38">
          <cell r="O38">
            <v>100</v>
          </cell>
        </row>
        <row r="38">
          <cell r="X38">
            <v>80</v>
          </cell>
        </row>
        <row r="38">
          <cell r="AG38">
            <v>60</v>
          </cell>
        </row>
        <row r="38">
          <cell r="AM38">
            <v>80</v>
          </cell>
        </row>
        <row r="38">
          <cell r="AP38">
            <v>60</v>
          </cell>
        </row>
        <row r="38">
          <cell r="BB38">
            <v>70</v>
          </cell>
        </row>
        <row r="39">
          <cell r="A39" t="str">
            <v>王志成</v>
          </cell>
          <cell r="B39" t="str">
            <v>2022210394</v>
          </cell>
        </row>
        <row r="39">
          <cell r="F39">
            <v>80</v>
          </cell>
        </row>
        <row r="39">
          <cell r="O39">
            <v>80</v>
          </cell>
        </row>
        <row r="39">
          <cell r="X39">
            <v>90</v>
          </cell>
        </row>
        <row r="39">
          <cell r="AG39">
            <v>90</v>
          </cell>
        </row>
        <row r="39">
          <cell r="AM39">
            <v>70</v>
          </cell>
        </row>
        <row r="39">
          <cell r="AP39">
            <v>70</v>
          </cell>
        </row>
        <row r="39">
          <cell r="BB39">
            <v>70</v>
          </cell>
        </row>
        <row r="40">
          <cell r="A40" t="str">
            <v>闫鹏飞</v>
          </cell>
          <cell r="B40" t="str">
            <v>2022210400</v>
          </cell>
        </row>
        <row r="40">
          <cell r="F40">
            <v>100</v>
          </cell>
        </row>
        <row r="40">
          <cell r="O40">
            <v>90</v>
          </cell>
        </row>
        <row r="40">
          <cell r="X40">
            <v>70</v>
          </cell>
        </row>
        <row r="40">
          <cell r="AG40">
            <v>90</v>
          </cell>
        </row>
        <row r="40">
          <cell r="AM40">
            <v>70</v>
          </cell>
        </row>
        <row r="40">
          <cell r="AP40">
            <v>80</v>
          </cell>
        </row>
        <row r="40">
          <cell r="BB40">
            <v>70</v>
          </cell>
        </row>
        <row r="41">
          <cell r="A41" t="str">
            <v>杨浩天</v>
          </cell>
          <cell r="B41" t="str">
            <v>2022210401</v>
          </cell>
        </row>
        <row r="41">
          <cell r="F41">
            <v>90</v>
          </cell>
        </row>
        <row r="41">
          <cell r="O41">
            <v>80</v>
          </cell>
        </row>
        <row r="41">
          <cell r="X41">
            <v>80</v>
          </cell>
        </row>
        <row r="41">
          <cell r="AG41">
            <v>100</v>
          </cell>
        </row>
        <row r="41">
          <cell r="AM41">
            <v>70</v>
          </cell>
        </row>
        <row r="41">
          <cell r="AP41">
            <v>80</v>
          </cell>
        </row>
        <row r="41">
          <cell r="BB41">
            <v>60</v>
          </cell>
        </row>
        <row r="42">
          <cell r="A42" t="str">
            <v>杨龙</v>
          </cell>
          <cell r="B42" t="str">
            <v>2022210402</v>
          </cell>
        </row>
        <row r="42">
          <cell r="F42">
            <v>90</v>
          </cell>
        </row>
        <row r="42">
          <cell r="O42">
            <v>80</v>
          </cell>
        </row>
        <row r="42">
          <cell r="X42">
            <v>80</v>
          </cell>
        </row>
        <row r="42">
          <cell r="AG42">
            <v>90</v>
          </cell>
        </row>
        <row r="42">
          <cell r="AM42">
            <v>70</v>
          </cell>
        </row>
        <row r="42">
          <cell r="AP42">
            <v>80</v>
          </cell>
        </row>
        <row r="42">
          <cell r="BB42">
            <v>70</v>
          </cell>
        </row>
        <row r="43">
          <cell r="A43" t="str">
            <v>詹庆</v>
          </cell>
          <cell r="B43" t="str">
            <v>2022210404</v>
          </cell>
        </row>
        <row r="43">
          <cell r="F43">
            <v>80</v>
          </cell>
        </row>
        <row r="43">
          <cell r="O43">
            <v>95</v>
          </cell>
        </row>
        <row r="43">
          <cell r="X43">
            <v>95</v>
          </cell>
        </row>
        <row r="43">
          <cell r="AG43">
            <v>100</v>
          </cell>
        </row>
        <row r="43">
          <cell r="AM43">
            <v>80</v>
          </cell>
        </row>
        <row r="43">
          <cell r="AP43">
            <v>80</v>
          </cell>
        </row>
        <row r="43">
          <cell r="BB43">
            <v>70</v>
          </cell>
        </row>
        <row r="44">
          <cell r="A44" t="str">
            <v>张金龙</v>
          </cell>
          <cell r="B44" t="str">
            <v>2022210405</v>
          </cell>
        </row>
        <row r="44">
          <cell r="F44">
            <v>100</v>
          </cell>
        </row>
        <row r="44">
          <cell r="O44">
            <v>90</v>
          </cell>
        </row>
        <row r="44">
          <cell r="X44">
            <v>80</v>
          </cell>
        </row>
        <row r="44">
          <cell r="AG44">
            <v>90</v>
          </cell>
        </row>
        <row r="44">
          <cell r="AM44">
            <v>80</v>
          </cell>
        </row>
        <row r="44">
          <cell r="AP44">
            <v>80</v>
          </cell>
        </row>
        <row r="44">
          <cell r="BB44">
            <v>70</v>
          </cell>
        </row>
        <row r="45">
          <cell r="A45" t="str">
            <v>张克</v>
          </cell>
          <cell r="B45" t="str">
            <v>2022210407</v>
          </cell>
        </row>
        <row r="46">
          <cell r="A46" t="str">
            <v>张文抱</v>
          </cell>
          <cell r="B46" t="str">
            <v>2022210411</v>
          </cell>
        </row>
        <row r="46">
          <cell r="F46">
            <v>100</v>
          </cell>
        </row>
        <row r="46">
          <cell r="O46">
            <v>80</v>
          </cell>
        </row>
        <row r="46">
          <cell r="X46">
            <v>90</v>
          </cell>
        </row>
        <row r="46">
          <cell r="AG46">
            <v>90</v>
          </cell>
        </row>
        <row r="46">
          <cell r="AM46">
            <v>90</v>
          </cell>
        </row>
        <row r="46">
          <cell r="AP46">
            <v>80</v>
          </cell>
        </row>
        <row r="46">
          <cell r="BB46">
            <v>80</v>
          </cell>
        </row>
        <row r="47">
          <cell r="A47" t="str">
            <v>张玉妍</v>
          </cell>
          <cell r="B47" t="str">
            <v>2022210414</v>
          </cell>
        </row>
        <row r="47">
          <cell r="F47">
            <v>100</v>
          </cell>
        </row>
        <row r="47">
          <cell r="O47">
            <v>95</v>
          </cell>
        </row>
        <row r="47">
          <cell r="X47">
            <v>80</v>
          </cell>
        </row>
        <row r="47">
          <cell r="AG47">
            <v>100</v>
          </cell>
        </row>
        <row r="47">
          <cell r="AM47">
            <v>70</v>
          </cell>
        </row>
        <row r="47">
          <cell r="AP47">
            <v>80</v>
          </cell>
        </row>
        <row r="47">
          <cell r="BB47">
            <v>70</v>
          </cell>
        </row>
        <row r="48">
          <cell r="A48" t="str">
            <v>赵杰</v>
          </cell>
          <cell r="B48" t="str">
            <v>2022210416</v>
          </cell>
        </row>
        <row r="48">
          <cell r="F48">
            <v>80</v>
          </cell>
        </row>
        <row r="48">
          <cell r="O48">
            <v>90</v>
          </cell>
        </row>
        <row r="48">
          <cell r="X48">
            <v>70</v>
          </cell>
        </row>
        <row r="48">
          <cell r="AG48">
            <v>90</v>
          </cell>
        </row>
        <row r="48">
          <cell r="AM48">
            <v>70</v>
          </cell>
        </row>
        <row r="48">
          <cell r="AP48">
            <v>70</v>
          </cell>
        </row>
        <row r="48">
          <cell r="BB48">
            <v>60</v>
          </cell>
        </row>
        <row r="49">
          <cell r="A49" t="str">
            <v>郑存耀</v>
          </cell>
          <cell r="B49" t="str">
            <v>2022210417</v>
          </cell>
        </row>
        <row r="49">
          <cell r="F49">
            <v>100</v>
          </cell>
        </row>
        <row r="49">
          <cell r="O49">
            <v>60</v>
          </cell>
        </row>
        <row r="49">
          <cell r="X49">
            <v>100</v>
          </cell>
        </row>
        <row r="49">
          <cell r="AG49">
            <v>100</v>
          </cell>
        </row>
        <row r="49">
          <cell r="AM49">
            <v>80</v>
          </cell>
        </row>
        <row r="49">
          <cell r="AP49">
            <v>70</v>
          </cell>
        </row>
        <row r="50">
          <cell r="A50" t="str">
            <v>周宇</v>
          </cell>
          <cell r="B50" t="str">
            <v>2022210422</v>
          </cell>
        </row>
        <row r="50">
          <cell r="F50">
            <v>100</v>
          </cell>
        </row>
        <row r="50">
          <cell r="O50">
            <v>80</v>
          </cell>
        </row>
        <row r="50">
          <cell r="X50">
            <v>100</v>
          </cell>
        </row>
        <row r="50">
          <cell r="AG50">
            <v>100</v>
          </cell>
        </row>
        <row r="50">
          <cell r="AM50">
            <v>70</v>
          </cell>
        </row>
        <row r="50">
          <cell r="AP50">
            <v>60</v>
          </cell>
        </row>
        <row r="50">
          <cell r="BB50">
            <v>70</v>
          </cell>
        </row>
        <row r="51">
          <cell r="A51" t="str">
            <v>朱传双</v>
          </cell>
          <cell r="B51" t="str">
            <v>2022210423</v>
          </cell>
        </row>
        <row r="51">
          <cell r="F51">
            <v>100</v>
          </cell>
        </row>
        <row r="51">
          <cell r="O51">
            <v>80</v>
          </cell>
        </row>
        <row r="51">
          <cell r="X51">
            <v>100</v>
          </cell>
        </row>
        <row r="51">
          <cell r="AG51">
            <v>90</v>
          </cell>
        </row>
        <row r="51">
          <cell r="AM51">
            <v>70</v>
          </cell>
        </row>
        <row r="51">
          <cell r="AP51">
            <v>90</v>
          </cell>
        </row>
        <row r="51">
          <cell r="BB51">
            <v>70</v>
          </cell>
        </row>
        <row r="52">
          <cell r="A52" t="str">
            <v>朱世俊</v>
          </cell>
          <cell r="B52" t="str">
            <v>2022210428</v>
          </cell>
        </row>
        <row r="52">
          <cell r="F52">
            <v>80</v>
          </cell>
        </row>
        <row r="52">
          <cell r="O52">
            <v>90</v>
          </cell>
        </row>
        <row r="52">
          <cell r="X52">
            <v>80</v>
          </cell>
        </row>
        <row r="52">
          <cell r="AG52">
            <v>70</v>
          </cell>
        </row>
        <row r="52">
          <cell r="AP52">
            <v>70</v>
          </cell>
        </row>
        <row r="52">
          <cell r="BB52">
            <v>80</v>
          </cell>
        </row>
        <row r="53">
          <cell r="A53" t="str">
            <v>祝文耿</v>
          </cell>
          <cell r="B53" t="str">
            <v>2022210429</v>
          </cell>
        </row>
        <row r="53">
          <cell r="F53">
            <v>80</v>
          </cell>
        </row>
        <row r="53">
          <cell r="O53">
            <v>80</v>
          </cell>
        </row>
        <row r="53">
          <cell r="X53">
            <v>100</v>
          </cell>
        </row>
        <row r="53">
          <cell r="AG53">
            <v>80</v>
          </cell>
        </row>
        <row r="53">
          <cell r="AM53">
            <v>80</v>
          </cell>
        </row>
        <row r="53">
          <cell r="AP53">
            <v>70</v>
          </cell>
        </row>
        <row r="53">
          <cell r="BB53">
            <v>70</v>
          </cell>
        </row>
        <row r="54">
          <cell r="A54" t="str">
            <v>宗梦晴</v>
          </cell>
          <cell r="B54" t="str">
            <v>2022210430</v>
          </cell>
        </row>
        <row r="54">
          <cell r="F54">
            <v>100</v>
          </cell>
        </row>
        <row r="54">
          <cell r="O54">
            <v>95</v>
          </cell>
        </row>
        <row r="54">
          <cell r="X54">
            <v>70</v>
          </cell>
        </row>
        <row r="54">
          <cell r="AG54">
            <v>100</v>
          </cell>
        </row>
        <row r="54">
          <cell r="AM54">
            <v>90</v>
          </cell>
        </row>
        <row r="54">
          <cell r="AP54">
            <v>80</v>
          </cell>
        </row>
        <row r="54">
          <cell r="BB54">
            <v>70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2"/>
  <sheetViews>
    <sheetView workbookViewId="0">
      <selection activeCell="C20" sqref="A1:N1 C20"/>
    </sheetView>
  </sheetViews>
  <sheetFormatPr defaultColWidth="8.88888888888889" defaultRowHeight="14.4"/>
  <cols>
    <col min="1" max="1" width="12.8888888888889" customWidth="1"/>
    <col min="2" max="2" width="8.55555555555556" customWidth="1"/>
    <col min="4" max="4" width="5" customWidth="1"/>
    <col min="5" max="5" width="5.22222222222222" customWidth="1"/>
    <col min="6" max="6" width="4.11111111111111" customWidth="1"/>
    <col min="7" max="7" width="5.22222222222222" customWidth="1"/>
    <col min="8" max="8" width="7.44444444444444" customWidth="1"/>
    <col min="9" max="9" width="6.11111111111111" customWidth="1"/>
    <col min="10" max="10" width="7.55555555555556" customWidth="1"/>
    <col min="11" max="11" width="5.88888888888889" customWidth="1"/>
    <col min="13" max="13" width="6.55555555555556" customWidth="1"/>
    <col min="14" max="14" width="8.77777777777778" customWidth="1"/>
  </cols>
  <sheetData>
    <row r="1" spans="1:14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ht="20" customHeight="1" spans="1:14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28" t="s">
        <v>11</v>
      </c>
      <c r="L2" s="28" t="s">
        <v>12</v>
      </c>
      <c r="M2" s="28" t="s">
        <v>13</v>
      </c>
      <c r="N2" s="28" t="s">
        <v>14</v>
      </c>
    </row>
    <row r="3" ht="20" customHeight="1" spans="1:14">
      <c r="A3" s="29" t="s">
        <v>15</v>
      </c>
      <c r="B3" s="29" t="s">
        <v>16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9</v>
      </c>
      <c r="J3" s="28">
        <v>0</v>
      </c>
      <c r="K3" s="28">
        <v>0</v>
      </c>
      <c r="L3" s="28">
        <v>0</v>
      </c>
      <c r="M3" s="28">
        <f t="shared" ref="M3:M52" si="0">SUM(I3:L3)</f>
        <v>9</v>
      </c>
      <c r="N3" s="28">
        <f t="shared" ref="N3:N52" si="1">M3+55</f>
        <v>64</v>
      </c>
    </row>
    <row r="4" ht="20" customHeight="1" spans="1:14">
      <c r="A4" s="29" t="s">
        <v>17</v>
      </c>
      <c r="B4" s="29" t="s">
        <v>18</v>
      </c>
      <c r="C4" s="28">
        <v>-10</v>
      </c>
      <c r="D4" s="28">
        <v>8</v>
      </c>
      <c r="E4" s="28">
        <v>10</v>
      </c>
      <c r="F4" s="28">
        <v>9</v>
      </c>
      <c r="G4" s="28">
        <v>9</v>
      </c>
      <c r="H4" s="28">
        <v>8</v>
      </c>
      <c r="I4" s="28">
        <v>9</v>
      </c>
      <c r="J4" s="28">
        <v>9</v>
      </c>
      <c r="K4" s="28">
        <v>8</v>
      </c>
      <c r="L4" s="28">
        <v>0</v>
      </c>
      <c r="M4" s="28">
        <f t="shared" si="0"/>
        <v>26</v>
      </c>
      <c r="N4" s="28">
        <f t="shared" si="1"/>
        <v>81</v>
      </c>
    </row>
    <row r="5" ht="20" customHeight="1" spans="1:14">
      <c r="A5" s="29" t="s">
        <v>19</v>
      </c>
      <c r="B5" s="29" t="s">
        <v>20</v>
      </c>
      <c r="C5" s="28">
        <v>8</v>
      </c>
      <c r="D5" s="28">
        <v>8</v>
      </c>
      <c r="E5" s="28">
        <v>9</v>
      </c>
      <c r="F5" s="28">
        <v>9</v>
      </c>
      <c r="G5" s="28">
        <v>9</v>
      </c>
      <c r="H5" s="28">
        <v>0</v>
      </c>
      <c r="I5" s="28">
        <v>9</v>
      </c>
      <c r="J5" s="28">
        <v>9</v>
      </c>
      <c r="K5" s="28">
        <v>8</v>
      </c>
      <c r="L5" s="28">
        <v>8</v>
      </c>
      <c r="M5" s="28">
        <f t="shared" si="0"/>
        <v>34</v>
      </c>
      <c r="N5" s="28">
        <f t="shared" si="1"/>
        <v>89</v>
      </c>
    </row>
    <row r="6" ht="20" customHeight="1" spans="1:14">
      <c r="A6" s="29" t="s">
        <v>21</v>
      </c>
      <c r="B6" s="29" t="s">
        <v>22</v>
      </c>
      <c r="C6" s="28">
        <v>8</v>
      </c>
      <c r="D6" s="28">
        <v>0</v>
      </c>
      <c r="E6" s="28">
        <v>10</v>
      </c>
      <c r="F6" s="28">
        <v>9</v>
      </c>
      <c r="G6" s="28">
        <v>9</v>
      </c>
      <c r="H6" s="28">
        <v>8</v>
      </c>
      <c r="I6" s="28">
        <v>9</v>
      </c>
      <c r="J6" s="28">
        <v>9</v>
      </c>
      <c r="K6" s="28">
        <v>8</v>
      </c>
      <c r="L6" s="28">
        <v>8</v>
      </c>
      <c r="M6" s="28">
        <f t="shared" si="0"/>
        <v>34</v>
      </c>
      <c r="N6" s="28">
        <f t="shared" si="1"/>
        <v>89</v>
      </c>
    </row>
    <row r="7" ht="20" customHeight="1" spans="1:14">
      <c r="A7" s="29" t="s">
        <v>23</v>
      </c>
      <c r="B7" s="29" t="s">
        <v>24</v>
      </c>
      <c r="C7" s="28">
        <v>8</v>
      </c>
      <c r="D7" s="28">
        <v>8</v>
      </c>
      <c r="E7" s="28">
        <v>9</v>
      </c>
      <c r="F7" s="28">
        <v>9</v>
      </c>
      <c r="G7" s="28">
        <v>9</v>
      </c>
      <c r="H7" s="28">
        <v>8</v>
      </c>
      <c r="I7" s="28">
        <v>9</v>
      </c>
      <c r="J7" s="28">
        <v>9</v>
      </c>
      <c r="K7" s="28">
        <v>0</v>
      </c>
      <c r="L7" s="28">
        <v>8</v>
      </c>
      <c r="M7" s="28">
        <f t="shared" si="0"/>
        <v>26</v>
      </c>
      <c r="N7" s="28">
        <f t="shared" si="1"/>
        <v>81</v>
      </c>
    </row>
    <row r="8" ht="20" customHeight="1" spans="1:14">
      <c r="A8" s="29" t="s">
        <v>25</v>
      </c>
      <c r="B8" s="29" t="s">
        <v>26</v>
      </c>
      <c r="C8" s="28">
        <v>8</v>
      </c>
      <c r="D8" s="28">
        <v>8</v>
      </c>
      <c r="E8" s="28">
        <v>9</v>
      </c>
      <c r="F8" s="28">
        <v>9</v>
      </c>
      <c r="G8" s="28">
        <v>9</v>
      </c>
      <c r="H8" s="28">
        <v>10</v>
      </c>
      <c r="I8" s="28">
        <v>9</v>
      </c>
      <c r="J8" s="28">
        <v>9</v>
      </c>
      <c r="K8" s="28">
        <v>8</v>
      </c>
      <c r="L8" s="28">
        <v>8</v>
      </c>
      <c r="M8" s="28">
        <f t="shared" si="0"/>
        <v>34</v>
      </c>
      <c r="N8" s="28">
        <f t="shared" si="1"/>
        <v>89</v>
      </c>
    </row>
    <row r="9" ht="20" customHeight="1" spans="1:14">
      <c r="A9" s="29" t="s">
        <v>27</v>
      </c>
      <c r="B9" s="29" t="s">
        <v>28</v>
      </c>
      <c r="C9" s="28">
        <v>8</v>
      </c>
      <c r="D9" s="28">
        <v>8</v>
      </c>
      <c r="E9" s="28">
        <v>9</v>
      </c>
      <c r="F9" s="28">
        <v>0</v>
      </c>
      <c r="G9" s="28">
        <v>9</v>
      </c>
      <c r="H9" s="28">
        <v>8</v>
      </c>
      <c r="I9" s="28">
        <v>9</v>
      </c>
      <c r="J9" s="28">
        <v>9</v>
      </c>
      <c r="K9" s="28">
        <v>8</v>
      </c>
      <c r="L9" s="28">
        <v>0</v>
      </c>
      <c r="M9" s="28">
        <f t="shared" si="0"/>
        <v>26</v>
      </c>
      <c r="N9" s="28">
        <f t="shared" si="1"/>
        <v>81</v>
      </c>
    </row>
    <row r="10" ht="20" customHeight="1" spans="1:14">
      <c r="A10" s="29" t="s">
        <v>29</v>
      </c>
      <c r="B10" s="29" t="s">
        <v>30</v>
      </c>
      <c r="C10" s="28">
        <v>8</v>
      </c>
      <c r="D10" s="28">
        <v>8</v>
      </c>
      <c r="E10" s="28">
        <v>10</v>
      </c>
      <c r="F10" s="28">
        <v>9</v>
      </c>
      <c r="G10" s="28">
        <v>9</v>
      </c>
      <c r="H10" s="28">
        <v>8</v>
      </c>
      <c r="I10" s="28">
        <v>9</v>
      </c>
      <c r="J10" s="28">
        <v>9</v>
      </c>
      <c r="K10" s="28">
        <v>8</v>
      </c>
      <c r="L10" s="28">
        <v>8</v>
      </c>
      <c r="M10" s="28">
        <f t="shared" si="0"/>
        <v>34</v>
      </c>
      <c r="N10" s="28">
        <f t="shared" si="1"/>
        <v>89</v>
      </c>
    </row>
    <row r="11" ht="20" customHeight="1" spans="1:14">
      <c r="A11" s="29" t="s">
        <v>31</v>
      </c>
      <c r="B11" s="29" t="s">
        <v>32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f t="shared" si="0"/>
        <v>0</v>
      </c>
      <c r="N11" s="28">
        <v>0</v>
      </c>
    </row>
    <row r="12" ht="20" customHeight="1" spans="1:14">
      <c r="A12" s="29" t="s">
        <v>33</v>
      </c>
      <c r="B12" s="29" t="s">
        <v>34</v>
      </c>
      <c r="C12" s="28">
        <v>8</v>
      </c>
      <c r="D12" s="28">
        <v>8</v>
      </c>
      <c r="E12" s="28">
        <v>10</v>
      </c>
      <c r="F12" s="28">
        <v>9</v>
      </c>
      <c r="G12" s="28">
        <v>9</v>
      </c>
      <c r="H12" s="28">
        <v>8</v>
      </c>
      <c r="I12" s="28">
        <v>9</v>
      </c>
      <c r="J12" s="28">
        <v>9</v>
      </c>
      <c r="K12" s="28">
        <v>8</v>
      </c>
      <c r="L12" s="28">
        <v>8</v>
      </c>
      <c r="M12" s="28">
        <f t="shared" si="0"/>
        <v>34</v>
      </c>
      <c r="N12" s="28">
        <f t="shared" si="1"/>
        <v>89</v>
      </c>
    </row>
    <row r="13" ht="20" customHeight="1" spans="1:14">
      <c r="A13" s="29" t="s">
        <v>35</v>
      </c>
      <c r="B13" s="29" t="s">
        <v>36</v>
      </c>
      <c r="C13" s="28">
        <v>8</v>
      </c>
      <c r="D13" s="28">
        <v>8</v>
      </c>
      <c r="E13" s="28">
        <v>9</v>
      </c>
      <c r="F13" s="28">
        <v>9</v>
      </c>
      <c r="G13" s="28">
        <v>9</v>
      </c>
      <c r="H13" s="28">
        <v>8</v>
      </c>
      <c r="I13" s="28">
        <v>9</v>
      </c>
      <c r="J13" s="28">
        <v>9</v>
      </c>
      <c r="K13" s="28">
        <v>8</v>
      </c>
      <c r="L13" s="28">
        <v>0</v>
      </c>
      <c r="M13" s="28">
        <f t="shared" si="0"/>
        <v>26</v>
      </c>
      <c r="N13" s="28">
        <f t="shared" si="1"/>
        <v>81</v>
      </c>
    </row>
    <row r="14" ht="20" customHeight="1" spans="1:14">
      <c r="A14" s="29" t="s">
        <v>37</v>
      </c>
      <c r="B14" s="29" t="s">
        <v>38</v>
      </c>
      <c r="C14" s="28">
        <v>8</v>
      </c>
      <c r="D14" s="28">
        <v>8</v>
      </c>
      <c r="E14" s="28">
        <v>9</v>
      </c>
      <c r="F14" s="28">
        <v>9</v>
      </c>
      <c r="G14" s="28">
        <v>9</v>
      </c>
      <c r="H14" s="28">
        <v>8</v>
      </c>
      <c r="I14" s="28">
        <v>9</v>
      </c>
      <c r="J14" s="28">
        <v>9</v>
      </c>
      <c r="K14" s="28">
        <v>8</v>
      </c>
      <c r="L14" s="28">
        <v>8</v>
      </c>
      <c r="M14" s="28">
        <f t="shared" si="0"/>
        <v>34</v>
      </c>
      <c r="N14" s="28">
        <f t="shared" si="1"/>
        <v>89</v>
      </c>
    </row>
    <row r="15" ht="20" customHeight="1" spans="1:14">
      <c r="A15" s="29" t="s">
        <v>39</v>
      </c>
      <c r="B15" s="29" t="s">
        <v>40</v>
      </c>
      <c r="C15" s="28">
        <v>8</v>
      </c>
      <c r="D15" s="28">
        <v>8</v>
      </c>
      <c r="E15" s="28">
        <v>10</v>
      </c>
      <c r="F15" s="28">
        <v>9</v>
      </c>
      <c r="G15" s="28">
        <v>9</v>
      </c>
      <c r="H15" s="28">
        <v>8</v>
      </c>
      <c r="I15" s="28">
        <v>9</v>
      </c>
      <c r="J15" s="28">
        <v>9</v>
      </c>
      <c r="K15" s="28">
        <v>8</v>
      </c>
      <c r="L15" s="28">
        <v>8</v>
      </c>
      <c r="M15" s="28">
        <f t="shared" si="0"/>
        <v>34</v>
      </c>
      <c r="N15" s="28">
        <f t="shared" si="1"/>
        <v>89</v>
      </c>
    </row>
    <row r="16" ht="20" customHeight="1" spans="1:14">
      <c r="A16" s="29" t="s">
        <v>41</v>
      </c>
      <c r="B16" s="29" t="s">
        <v>42</v>
      </c>
      <c r="C16" s="28">
        <v>8</v>
      </c>
      <c r="D16" s="28">
        <v>0</v>
      </c>
      <c r="E16" s="28">
        <v>9</v>
      </c>
      <c r="F16" s="28">
        <v>9</v>
      </c>
      <c r="G16" s="28">
        <v>0</v>
      </c>
      <c r="H16" s="28">
        <v>8</v>
      </c>
      <c r="I16" s="28">
        <v>9</v>
      </c>
      <c r="J16" s="28">
        <v>9</v>
      </c>
      <c r="K16" s="28">
        <v>8</v>
      </c>
      <c r="L16" s="28">
        <v>0</v>
      </c>
      <c r="M16" s="28">
        <f t="shared" si="0"/>
        <v>26</v>
      </c>
      <c r="N16" s="28">
        <f t="shared" si="1"/>
        <v>81</v>
      </c>
    </row>
    <row r="17" ht="20" customHeight="1" spans="1:14">
      <c r="A17" s="29" t="s">
        <v>43</v>
      </c>
      <c r="B17" s="29" t="s">
        <v>44</v>
      </c>
      <c r="C17" s="28">
        <v>8</v>
      </c>
      <c r="D17" s="28">
        <v>8</v>
      </c>
      <c r="E17" s="28">
        <v>10</v>
      </c>
      <c r="F17" s="28">
        <v>9</v>
      </c>
      <c r="G17" s="28">
        <v>9</v>
      </c>
      <c r="H17" s="28">
        <v>8</v>
      </c>
      <c r="I17" s="28">
        <v>9</v>
      </c>
      <c r="J17" s="28">
        <v>9</v>
      </c>
      <c r="K17" s="28">
        <v>0</v>
      </c>
      <c r="L17" s="28">
        <v>8</v>
      </c>
      <c r="M17" s="28">
        <f t="shared" si="0"/>
        <v>26</v>
      </c>
      <c r="N17" s="28">
        <f t="shared" si="1"/>
        <v>81</v>
      </c>
    </row>
    <row r="18" ht="20" customHeight="1" spans="1:14">
      <c r="A18" s="29" t="s">
        <v>45</v>
      </c>
      <c r="B18" s="29" t="s">
        <v>46</v>
      </c>
      <c r="C18" s="28">
        <v>8</v>
      </c>
      <c r="D18" s="28">
        <v>8</v>
      </c>
      <c r="E18" s="28">
        <v>9</v>
      </c>
      <c r="F18" s="28">
        <v>9</v>
      </c>
      <c r="G18" s="28">
        <v>0</v>
      </c>
      <c r="H18" s="28">
        <v>8</v>
      </c>
      <c r="I18" s="28">
        <v>9</v>
      </c>
      <c r="J18" s="28">
        <v>9</v>
      </c>
      <c r="K18" s="28">
        <v>0</v>
      </c>
      <c r="L18" s="28">
        <v>8</v>
      </c>
      <c r="M18" s="28">
        <f t="shared" si="0"/>
        <v>26</v>
      </c>
      <c r="N18" s="28">
        <f t="shared" si="1"/>
        <v>81</v>
      </c>
    </row>
    <row r="19" ht="20" customHeight="1" spans="1:14">
      <c r="A19" s="29" t="s">
        <v>47</v>
      </c>
      <c r="B19" s="29" t="s">
        <v>48</v>
      </c>
      <c r="C19" s="28">
        <v>8</v>
      </c>
      <c r="D19" s="28">
        <v>8</v>
      </c>
      <c r="E19" s="28">
        <v>9</v>
      </c>
      <c r="F19" s="28">
        <v>9</v>
      </c>
      <c r="G19" s="28">
        <v>0</v>
      </c>
      <c r="H19" s="28">
        <v>8</v>
      </c>
      <c r="I19" s="28">
        <v>9</v>
      </c>
      <c r="J19" s="28">
        <v>9</v>
      </c>
      <c r="K19" s="28">
        <v>8</v>
      </c>
      <c r="L19" s="28">
        <v>8</v>
      </c>
      <c r="M19" s="28">
        <f t="shared" si="0"/>
        <v>34</v>
      </c>
      <c r="N19" s="28">
        <f t="shared" si="1"/>
        <v>89</v>
      </c>
    </row>
    <row r="20" ht="20" customHeight="1" spans="1:14">
      <c r="A20" s="29" t="s">
        <v>49</v>
      </c>
      <c r="B20" s="29" t="s">
        <v>50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f t="shared" si="0"/>
        <v>0</v>
      </c>
      <c r="N20" s="28">
        <f t="shared" si="1"/>
        <v>55</v>
      </c>
    </row>
    <row r="21" ht="20" customHeight="1" spans="1:14">
      <c r="A21" s="29" t="s">
        <v>51</v>
      </c>
      <c r="B21" s="29" t="s">
        <v>52</v>
      </c>
      <c r="C21" s="28">
        <v>8</v>
      </c>
      <c r="D21" s="28">
        <v>8</v>
      </c>
      <c r="E21" s="28">
        <v>9</v>
      </c>
      <c r="F21" s="28">
        <v>9</v>
      </c>
      <c r="G21" s="28">
        <v>0</v>
      </c>
      <c r="H21" s="28">
        <v>8</v>
      </c>
      <c r="I21" s="28">
        <v>9</v>
      </c>
      <c r="J21" s="28">
        <v>9</v>
      </c>
      <c r="K21" s="28">
        <v>8</v>
      </c>
      <c r="L21" s="28">
        <v>8</v>
      </c>
      <c r="M21" s="28">
        <f t="shared" si="0"/>
        <v>34</v>
      </c>
      <c r="N21" s="28">
        <f t="shared" si="1"/>
        <v>89</v>
      </c>
    </row>
    <row r="22" ht="20" customHeight="1" spans="1:14">
      <c r="A22" s="29" t="s">
        <v>53</v>
      </c>
      <c r="B22" s="29" t="s">
        <v>54</v>
      </c>
      <c r="C22" s="28">
        <v>8</v>
      </c>
      <c r="D22" s="28">
        <v>8</v>
      </c>
      <c r="E22" s="28">
        <v>9</v>
      </c>
      <c r="F22" s="28">
        <v>0</v>
      </c>
      <c r="G22" s="28">
        <v>0</v>
      </c>
      <c r="H22" s="28">
        <v>0</v>
      </c>
      <c r="I22" s="28">
        <v>0</v>
      </c>
      <c r="J22" s="28">
        <v>9</v>
      </c>
      <c r="K22" s="28">
        <v>8</v>
      </c>
      <c r="L22" s="28">
        <v>0</v>
      </c>
      <c r="M22" s="28">
        <f t="shared" si="0"/>
        <v>17</v>
      </c>
      <c r="N22" s="28">
        <f t="shared" si="1"/>
        <v>72</v>
      </c>
    </row>
    <row r="23" ht="20" customHeight="1" spans="1:14">
      <c r="A23" s="29" t="s">
        <v>55</v>
      </c>
      <c r="B23" s="29" t="s">
        <v>56</v>
      </c>
      <c r="C23" s="28">
        <v>7</v>
      </c>
      <c r="D23" s="28">
        <v>8</v>
      </c>
      <c r="E23" s="28">
        <v>9</v>
      </c>
      <c r="F23" s="28" t="s">
        <v>57</v>
      </c>
      <c r="G23" s="28">
        <v>9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f t="shared" si="0"/>
        <v>0</v>
      </c>
      <c r="N23" s="28">
        <f t="shared" si="1"/>
        <v>55</v>
      </c>
    </row>
    <row r="24" ht="20" customHeight="1" spans="1:14">
      <c r="A24" s="29" t="s">
        <v>58</v>
      </c>
      <c r="B24" s="29" t="s">
        <v>59</v>
      </c>
      <c r="C24" s="28">
        <v>8</v>
      </c>
      <c r="D24" s="28">
        <v>8</v>
      </c>
      <c r="E24" s="28">
        <v>9</v>
      </c>
      <c r="F24" s="28">
        <v>9</v>
      </c>
      <c r="G24" s="28">
        <v>9</v>
      </c>
      <c r="H24" s="28">
        <v>0</v>
      </c>
      <c r="I24" s="28">
        <v>9</v>
      </c>
      <c r="J24" s="28">
        <v>9</v>
      </c>
      <c r="K24" s="28">
        <v>8</v>
      </c>
      <c r="L24" s="28">
        <v>8</v>
      </c>
      <c r="M24" s="28">
        <f t="shared" si="0"/>
        <v>34</v>
      </c>
      <c r="N24" s="28">
        <f t="shared" si="1"/>
        <v>89</v>
      </c>
    </row>
    <row r="25" ht="20" customHeight="1" spans="1:14">
      <c r="A25" s="29" t="s">
        <v>60</v>
      </c>
      <c r="B25" s="29" t="s">
        <v>61</v>
      </c>
      <c r="C25" s="28">
        <v>8</v>
      </c>
      <c r="D25" s="28">
        <v>8</v>
      </c>
      <c r="E25" s="28">
        <v>9</v>
      </c>
      <c r="F25" s="28">
        <v>9</v>
      </c>
      <c r="G25" s="28">
        <v>0</v>
      </c>
      <c r="H25" s="28">
        <v>8</v>
      </c>
      <c r="I25" s="28">
        <v>9</v>
      </c>
      <c r="J25" s="28">
        <v>9</v>
      </c>
      <c r="K25" s="28">
        <v>8</v>
      </c>
      <c r="L25" s="28">
        <v>0</v>
      </c>
      <c r="M25" s="28">
        <f t="shared" si="0"/>
        <v>26</v>
      </c>
      <c r="N25" s="28">
        <f t="shared" si="1"/>
        <v>81</v>
      </c>
    </row>
    <row r="26" ht="20" customHeight="1" spans="1:14">
      <c r="A26" s="29" t="s">
        <v>62</v>
      </c>
      <c r="B26" s="29" t="s">
        <v>63</v>
      </c>
      <c r="C26" s="28">
        <v>8</v>
      </c>
      <c r="D26" s="28">
        <v>8</v>
      </c>
      <c r="E26" s="28">
        <v>9</v>
      </c>
      <c r="F26" s="28">
        <v>9</v>
      </c>
      <c r="G26" s="28">
        <v>9</v>
      </c>
      <c r="H26" s="28">
        <v>8</v>
      </c>
      <c r="I26" s="28">
        <v>9</v>
      </c>
      <c r="J26" s="28">
        <v>9</v>
      </c>
      <c r="K26" s="28">
        <v>8</v>
      </c>
      <c r="L26" s="28">
        <v>8</v>
      </c>
      <c r="M26" s="28">
        <f t="shared" si="0"/>
        <v>34</v>
      </c>
      <c r="N26" s="28">
        <f t="shared" si="1"/>
        <v>89</v>
      </c>
    </row>
    <row r="27" ht="20" customHeight="1" spans="1:14">
      <c r="A27" s="29" t="s">
        <v>64</v>
      </c>
      <c r="B27" s="29" t="s">
        <v>65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8</v>
      </c>
      <c r="L27" s="28">
        <v>0</v>
      </c>
      <c r="M27" s="28">
        <f t="shared" si="0"/>
        <v>8</v>
      </c>
      <c r="N27" s="28">
        <f t="shared" si="1"/>
        <v>63</v>
      </c>
    </row>
    <row r="28" ht="20" customHeight="1" spans="1:14">
      <c r="A28" s="29" t="s">
        <v>66</v>
      </c>
      <c r="B28" s="29" t="s">
        <v>67</v>
      </c>
      <c r="C28" s="28">
        <v>8</v>
      </c>
      <c r="D28" s="28">
        <v>8</v>
      </c>
      <c r="E28" s="28">
        <v>10</v>
      </c>
      <c r="F28" s="28">
        <v>9</v>
      </c>
      <c r="G28" s="28">
        <v>9</v>
      </c>
      <c r="H28" s="28">
        <v>8</v>
      </c>
      <c r="I28" s="28">
        <v>9</v>
      </c>
      <c r="J28" s="28">
        <v>9</v>
      </c>
      <c r="K28" s="28">
        <v>0</v>
      </c>
      <c r="L28" s="28">
        <v>8</v>
      </c>
      <c r="M28" s="28">
        <f t="shared" si="0"/>
        <v>26</v>
      </c>
      <c r="N28" s="28">
        <f t="shared" si="1"/>
        <v>81</v>
      </c>
    </row>
    <row r="29" ht="20" customHeight="1" spans="1:14">
      <c r="A29" s="29" t="s">
        <v>68</v>
      </c>
      <c r="B29" s="29" t="s">
        <v>69</v>
      </c>
      <c r="C29" s="28">
        <v>8</v>
      </c>
      <c r="D29" s="28">
        <v>8</v>
      </c>
      <c r="E29" s="28">
        <v>10</v>
      </c>
      <c r="F29" s="28">
        <v>9</v>
      </c>
      <c r="G29" s="28">
        <v>9</v>
      </c>
      <c r="H29" s="28">
        <v>10</v>
      </c>
      <c r="I29" s="28">
        <v>9</v>
      </c>
      <c r="J29" s="28">
        <v>9</v>
      </c>
      <c r="K29" s="28">
        <v>8</v>
      </c>
      <c r="L29" s="28">
        <v>8</v>
      </c>
      <c r="M29" s="28">
        <f t="shared" si="0"/>
        <v>34</v>
      </c>
      <c r="N29" s="28">
        <f t="shared" si="1"/>
        <v>89</v>
      </c>
    </row>
    <row r="30" ht="20" customHeight="1" spans="1:14">
      <c r="A30" s="29" t="s">
        <v>70</v>
      </c>
      <c r="B30" s="29" t="s">
        <v>71</v>
      </c>
      <c r="C30" s="28">
        <v>8</v>
      </c>
      <c r="D30" s="28">
        <v>0</v>
      </c>
      <c r="E30" s="28">
        <v>0</v>
      </c>
      <c r="F30" s="28">
        <v>0</v>
      </c>
      <c r="G30" s="28">
        <v>9</v>
      </c>
      <c r="H30" s="28">
        <v>0</v>
      </c>
      <c r="I30" s="28">
        <v>9</v>
      </c>
      <c r="J30" s="28">
        <v>0</v>
      </c>
      <c r="K30" s="28">
        <v>0</v>
      </c>
      <c r="L30" s="28">
        <v>0</v>
      </c>
      <c r="M30" s="28">
        <f t="shared" si="0"/>
        <v>9</v>
      </c>
      <c r="N30" s="28">
        <f t="shared" si="1"/>
        <v>64</v>
      </c>
    </row>
    <row r="31" ht="20" customHeight="1" spans="1:14">
      <c r="A31" s="29" t="s">
        <v>72</v>
      </c>
      <c r="B31" s="29" t="s">
        <v>73</v>
      </c>
      <c r="C31" s="28">
        <v>8</v>
      </c>
      <c r="D31" s="28">
        <v>8</v>
      </c>
      <c r="E31" s="28">
        <v>9</v>
      </c>
      <c r="F31" s="28">
        <v>9</v>
      </c>
      <c r="G31" s="28">
        <v>9</v>
      </c>
      <c r="H31" s="28">
        <v>0</v>
      </c>
      <c r="I31" s="28">
        <v>9</v>
      </c>
      <c r="J31" s="28">
        <v>9</v>
      </c>
      <c r="K31" s="28">
        <v>8</v>
      </c>
      <c r="L31" s="28">
        <v>0</v>
      </c>
      <c r="M31" s="28">
        <f t="shared" si="0"/>
        <v>26</v>
      </c>
      <c r="N31" s="28">
        <f t="shared" si="1"/>
        <v>81</v>
      </c>
    </row>
    <row r="32" ht="20" customHeight="1" spans="1:14">
      <c r="A32" s="29" t="s">
        <v>74</v>
      </c>
      <c r="B32" s="29" t="s">
        <v>75</v>
      </c>
      <c r="C32" s="28">
        <v>8</v>
      </c>
      <c r="D32" s="28">
        <v>0</v>
      </c>
      <c r="E32" s="28">
        <v>9</v>
      </c>
      <c r="F32" s="28">
        <v>9</v>
      </c>
      <c r="G32" s="28">
        <v>9</v>
      </c>
      <c r="H32" s="28">
        <v>8</v>
      </c>
      <c r="I32" s="28">
        <v>9</v>
      </c>
      <c r="J32" s="28">
        <v>9</v>
      </c>
      <c r="K32" s="28">
        <v>0</v>
      </c>
      <c r="L32" s="28">
        <v>0</v>
      </c>
      <c r="M32" s="28">
        <f t="shared" si="0"/>
        <v>18</v>
      </c>
      <c r="N32" s="28">
        <f t="shared" si="1"/>
        <v>73</v>
      </c>
    </row>
    <row r="33" ht="20" customHeight="1" spans="1:14">
      <c r="A33" s="29" t="s">
        <v>76</v>
      </c>
      <c r="B33" s="29" t="s">
        <v>77</v>
      </c>
      <c r="C33" s="28">
        <v>8</v>
      </c>
      <c r="D33" s="28">
        <v>8</v>
      </c>
      <c r="E33" s="28">
        <v>0</v>
      </c>
      <c r="F33" s="28">
        <v>9</v>
      </c>
      <c r="G33" s="28">
        <v>0</v>
      </c>
      <c r="H33" s="28">
        <v>10</v>
      </c>
      <c r="I33" s="28">
        <v>9</v>
      </c>
      <c r="J33" s="28">
        <v>9</v>
      </c>
      <c r="K33" s="28">
        <v>0</v>
      </c>
      <c r="L33" s="28">
        <v>8</v>
      </c>
      <c r="M33" s="28">
        <f t="shared" si="0"/>
        <v>26</v>
      </c>
      <c r="N33" s="28">
        <f t="shared" si="1"/>
        <v>81</v>
      </c>
    </row>
    <row r="34" ht="20" customHeight="1" spans="1:14">
      <c r="A34" s="29" t="s">
        <v>78</v>
      </c>
      <c r="B34" s="29" t="s">
        <v>79</v>
      </c>
      <c r="C34" s="28">
        <v>8</v>
      </c>
      <c r="D34" s="28">
        <v>8</v>
      </c>
      <c r="E34" s="28">
        <v>9</v>
      </c>
      <c r="F34" s="28">
        <v>9</v>
      </c>
      <c r="G34" s="28">
        <v>0</v>
      </c>
      <c r="H34" s="28">
        <v>8</v>
      </c>
      <c r="I34" s="28">
        <v>0</v>
      </c>
      <c r="J34" s="28">
        <v>9</v>
      </c>
      <c r="K34" s="28">
        <v>8</v>
      </c>
      <c r="L34" s="28">
        <v>8</v>
      </c>
      <c r="M34" s="28">
        <f t="shared" si="0"/>
        <v>25</v>
      </c>
      <c r="N34" s="28">
        <f t="shared" si="1"/>
        <v>80</v>
      </c>
    </row>
    <row r="35" ht="20" customHeight="1" spans="1:14">
      <c r="A35" s="29" t="s">
        <v>80</v>
      </c>
      <c r="B35" s="29" t="s">
        <v>81</v>
      </c>
      <c r="C35" s="28">
        <v>8</v>
      </c>
      <c r="D35" s="28">
        <v>8</v>
      </c>
      <c r="E35" s="28">
        <v>9</v>
      </c>
      <c r="F35" s="28">
        <v>9</v>
      </c>
      <c r="G35" s="28">
        <v>9</v>
      </c>
      <c r="H35" s="28">
        <v>8</v>
      </c>
      <c r="I35" s="28">
        <v>9</v>
      </c>
      <c r="J35" s="28">
        <v>9</v>
      </c>
      <c r="K35" s="28">
        <v>8</v>
      </c>
      <c r="L35" s="28">
        <v>8</v>
      </c>
      <c r="M35" s="28">
        <f t="shared" si="0"/>
        <v>34</v>
      </c>
      <c r="N35" s="28">
        <f t="shared" si="1"/>
        <v>89</v>
      </c>
    </row>
    <row r="36" ht="20" customHeight="1" spans="1:14">
      <c r="A36" s="29" t="s">
        <v>82</v>
      </c>
      <c r="B36" s="29" t="s">
        <v>83</v>
      </c>
      <c r="C36" s="28">
        <v>8</v>
      </c>
      <c r="D36" s="28">
        <v>0</v>
      </c>
      <c r="E36" s="28">
        <v>9</v>
      </c>
      <c r="F36" s="28">
        <v>9</v>
      </c>
      <c r="G36" s="28">
        <v>9</v>
      </c>
      <c r="H36" s="28">
        <v>0</v>
      </c>
      <c r="I36" s="28">
        <v>9</v>
      </c>
      <c r="J36" s="28">
        <v>9</v>
      </c>
      <c r="K36" s="28">
        <v>0</v>
      </c>
      <c r="L36" s="28">
        <v>0</v>
      </c>
      <c r="M36" s="28">
        <f t="shared" si="0"/>
        <v>18</v>
      </c>
      <c r="N36" s="28">
        <f t="shared" si="1"/>
        <v>73</v>
      </c>
    </row>
    <row r="37" ht="20" customHeight="1" spans="1:14">
      <c r="A37" s="29" t="s">
        <v>84</v>
      </c>
      <c r="B37" s="29" t="s">
        <v>85</v>
      </c>
      <c r="C37" s="28">
        <v>7</v>
      </c>
      <c r="D37" s="28">
        <v>0</v>
      </c>
      <c r="E37" s="28">
        <v>9</v>
      </c>
      <c r="F37" s="28">
        <v>9</v>
      </c>
      <c r="G37" s="28">
        <v>9</v>
      </c>
      <c r="H37" s="28">
        <v>8</v>
      </c>
      <c r="I37" s="28">
        <v>9</v>
      </c>
      <c r="J37" s="28">
        <v>9</v>
      </c>
      <c r="K37" s="28">
        <v>8</v>
      </c>
      <c r="L37" s="28">
        <v>8</v>
      </c>
      <c r="M37" s="28">
        <f t="shared" si="0"/>
        <v>34</v>
      </c>
      <c r="N37" s="28">
        <f t="shared" si="1"/>
        <v>89</v>
      </c>
    </row>
    <row r="38" ht="20" customHeight="1" spans="1:14">
      <c r="A38" s="29" t="s">
        <v>86</v>
      </c>
      <c r="B38" s="29" t="s">
        <v>87</v>
      </c>
      <c r="C38" s="28">
        <v>8</v>
      </c>
      <c r="D38" s="28">
        <v>8</v>
      </c>
      <c r="E38" s="28">
        <v>9</v>
      </c>
      <c r="F38" s="28">
        <v>9</v>
      </c>
      <c r="G38" s="28">
        <v>0</v>
      </c>
      <c r="H38" s="28">
        <v>8</v>
      </c>
      <c r="I38" s="28">
        <v>9</v>
      </c>
      <c r="J38" s="28">
        <v>9</v>
      </c>
      <c r="K38" s="28">
        <v>0</v>
      </c>
      <c r="L38" s="28">
        <v>8</v>
      </c>
      <c r="M38" s="28">
        <f t="shared" si="0"/>
        <v>26</v>
      </c>
      <c r="N38" s="28">
        <f t="shared" si="1"/>
        <v>81</v>
      </c>
    </row>
    <row r="39" ht="20" customHeight="1" spans="1:14">
      <c r="A39" s="29" t="s">
        <v>88</v>
      </c>
      <c r="B39" s="29" t="s">
        <v>89</v>
      </c>
      <c r="C39" s="28">
        <v>8</v>
      </c>
      <c r="D39" s="28">
        <v>8</v>
      </c>
      <c r="E39" s="28">
        <v>9</v>
      </c>
      <c r="F39" s="28">
        <v>9</v>
      </c>
      <c r="G39" s="28">
        <v>0</v>
      </c>
      <c r="H39" s="28">
        <v>10</v>
      </c>
      <c r="I39" s="28">
        <v>0</v>
      </c>
      <c r="J39" s="28">
        <v>9</v>
      </c>
      <c r="K39" s="28">
        <v>0</v>
      </c>
      <c r="L39" s="28">
        <v>0</v>
      </c>
      <c r="M39" s="28">
        <f t="shared" si="0"/>
        <v>9</v>
      </c>
      <c r="N39" s="28">
        <f t="shared" si="1"/>
        <v>64</v>
      </c>
    </row>
    <row r="40" ht="20" customHeight="1" spans="1:14">
      <c r="A40" s="29" t="s">
        <v>90</v>
      </c>
      <c r="B40" s="29" t="s">
        <v>91</v>
      </c>
      <c r="C40" s="28">
        <v>8</v>
      </c>
      <c r="D40" s="28">
        <v>8</v>
      </c>
      <c r="E40" s="28">
        <v>10</v>
      </c>
      <c r="F40" s="28">
        <v>9</v>
      </c>
      <c r="G40" s="28">
        <v>9</v>
      </c>
      <c r="H40" s="28">
        <v>8</v>
      </c>
      <c r="I40" s="28">
        <v>9</v>
      </c>
      <c r="J40" s="28">
        <v>9</v>
      </c>
      <c r="K40" s="28">
        <v>0</v>
      </c>
      <c r="L40" s="28">
        <v>0</v>
      </c>
      <c r="M40" s="28">
        <f t="shared" si="0"/>
        <v>18</v>
      </c>
      <c r="N40" s="28">
        <f t="shared" si="1"/>
        <v>73</v>
      </c>
    </row>
    <row r="41" ht="20" customHeight="1" spans="1:14">
      <c r="A41" s="29" t="s">
        <v>92</v>
      </c>
      <c r="B41" s="29" t="s">
        <v>93</v>
      </c>
      <c r="C41" s="28">
        <v>8</v>
      </c>
      <c r="D41" s="28">
        <v>0</v>
      </c>
      <c r="E41" s="28">
        <v>10</v>
      </c>
      <c r="F41" s="28">
        <v>9</v>
      </c>
      <c r="G41" s="28">
        <v>0</v>
      </c>
      <c r="H41" s="28">
        <v>8</v>
      </c>
      <c r="I41" s="28">
        <v>0</v>
      </c>
      <c r="J41" s="28">
        <v>9</v>
      </c>
      <c r="K41" s="28">
        <v>8</v>
      </c>
      <c r="L41" s="28">
        <v>8</v>
      </c>
      <c r="M41" s="28">
        <f t="shared" si="0"/>
        <v>25</v>
      </c>
      <c r="N41" s="28">
        <f t="shared" si="1"/>
        <v>80</v>
      </c>
    </row>
    <row r="42" ht="20" customHeight="1" spans="1:14">
      <c r="A42" s="29" t="s">
        <v>94</v>
      </c>
      <c r="B42" s="29" t="s">
        <v>95</v>
      </c>
      <c r="C42" s="28">
        <v>8</v>
      </c>
      <c r="D42" s="28">
        <v>8</v>
      </c>
      <c r="E42" s="28">
        <v>10</v>
      </c>
      <c r="F42" s="28">
        <v>9</v>
      </c>
      <c r="G42" s="28">
        <v>9</v>
      </c>
      <c r="H42" s="28">
        <v>8</v>
      </c>
      <c r="I42" s="28">
        <v>9</v>
      </c>
      <c r="J42" s="28">
        <v>9</v>
      </c>
      <c r="K42" s="28">
        <v>8</v>
      </c>
      <c r="L42" s="28">
        <v>8</v>
      </c>
      <c r="M42" s="28">
        <f t="shared" si="0"/>
        <v>34</v>
      </c>
      <c r="N42" s="28">
        <f t="shared" si="1"/>
        <v>89</v>
      </c>
    </row>
    <row r="43" ht="20" customHeight="1" spans="1:14">
      <c r="A43" s="29" t="s">
        <v>96</v>
      </c>
      <c r="B43" s="29" t="s">
        <v>97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</row>
    <row r="44" ht="20" customHeight="1" spans="1:14">
      <c r="A44" s="29" t="s">
        <v>98</v>
      </c>
      <c r="B44" s="29" t="s">
        <v>99</v>
      </c>
      <c r="C44" s="28">
        <v>8</v>
      </c>
      <c r="D44" s="28">
        <v>0</v>
      </c>
      <c r="E44" s="28">
        <v>9</v>
      </c>
      <c r="F44" s="28">
        <v>9</v>
      </c>
      <c r="G44" s="28">
        <v>0</v>
      </c>
      <c r="H44" s="28">
        <v>8</v>
      </c>
      <c r="I44" s="28">
        <v>0</v>
      </c>
      <c r="J44" s="28">
        <v>9</v>
      </c>
      <c r="K44" s="28">
        <v>0</v>
      </c>
      <c r="L44" s="28">
        <v>0</v>
      </c>
      <c r="M44" s="28">
        <f t="shared" si="0"/>
        <v>9</v>
      </c>
      <c r="N44" s="28">
        <f t="shared" si="1"/>
        <v>64</v>
      </c>
    </row>
    <row r="45" ht="20" customHeight="1" spans="1:14">
      <c r="A45" s="29" t="s">
        <v>100</v>
      </c>
      <c r="B45" s="29" t="s">
        <v>101</v>
      </c>
      <c r="C45" s="28">
        <v>8</v>
      </c>
      <c r="D45" s="28">
        <v>8</v>
      </c>
      <c r="E45" s="28">
        <v>9</v>
      </c>
      <c r="F45" s="28">
        <v>9</v>
      </c>
      <c r="G45" s="28">
        <v>0</v>
      </c>
      <c r="H45" s="28">
        <v>8</v>
      </c>
      <c r="I45" s="28">
        <v>0</v>
      </c>
      <c r="J45" s="28">
        <v>9</v>
      </c>
      <c r="K45" s="28">
        <v>0</v>
      </c>
      <c r="L45" s="28">
        <v>8</v>
      </c>
      <c r="M45" s="28">
        <f t="shared" si="0"/>
        <v>17</v>
      </c>
      <c r="N45" s="28">
        <f t="shared" si="1"/>
        <v>72</v>
      </c>
    </row>
    <row r="46" ht="20" customHeight="1" spans="1:14">
      <c r="A46" s="29" t="s">
        <v>102</v>
      </c>
      <c r="B46" s="29" t="s">
        <v>103</v>
      </c>
      <c r="C46" s="28">
        <v>0</v>
      </c>
      <c r="D46" s="28">
        <v>8</v>
      </c>
      <c r="E46" s="28">
        <v>10</v>
      </c>
      <c r="F46" s="28">
        <v>9</v>
      </c>
      <c r="G46" s="28">
        <v>0</v>
      </c>
      <c r="H46" s="28">
        <v>8</v>
      </c>
      <c r="I46" s="28">
        <v>0</v>
      </c>
      <c r="J46" s="28">
        <v>9</v>
      </c>
      <c r="K46" s="28">
        <v>0</v>
      </c>
      <c r="L46" s="28">
        <v>0</v>
      </c>
      <c r="M46" s="28">
        <f t="shared" si="0"/>
        <v>9</v>
      </c>
      <c r="N46" s="28">
        <f t="shared" si="1"/>
        <v>64</v>
      </c>
    </row>
    <row r="47" ht="20" customHeight="1" spans="1:14">
      <c r="A47" s="29" t="s">
        <v>104</v>
      </c>
      <c r="B47" s="29" t="s">
        <v>105</v>
      </c>
      <c r="C47" s="28">
        <v>7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f t="shared" si="0"/>
        <v>0</v>
      </c>
      <c r="N47" s="28">
        <f t="shared" si="1"/>
        <v>55</v>
      </c>
    </row>
    <row r="48" ht="20" customHeight="1" spans="1:14">
      <c r="A48" s="29" t="s">
        <v>106</v>
      </c>
      <c r="B48" s="29" t="s">
        <v>107</v>
      </c>
      <c r="C48" s="28">
        <v>8</v>
      </c>
      <c r="D48" s="28">
        <v>8</v>
      </c>
      <c r="E48" s="28">
        <v>0</v>
      </c>
      <c r="F48" s="28">
        <v>9</v>
      </c>
      <c r="G48" s="28">
        <v>9</v>
      </c>
      <c r="H48" s="28">
        <v>0</v>
      </c>
      <c r="I48" s="28">
        <v>9</v>
      </c>
      <c r="J48" s="28">
        <v>9</v>
      </c>
      <c r="K48" s="28">
        <v>0</v>
      </c>
      <c r="L48" s="28">
        <v>8</v>
      </c>
      <c r="M48" s="28">
        <f t="shared" si="0"/>
        <v>26</v>
      </c>
      <c r="N48" s="28">
        <f t="shared" si="1"/>
        <v>81</v>
      </c>
    </row>
    <row r="49" ht="20" customHeight="1" spans="1:14">
      <c r="A49" s="29" t="s">
        <v>108</v>
      </c>
      <c r="B49" s="29" t="s">
        <v>109</v>
      </c>
      <c r="C49" s="28">
        <v>8</v>
      </c>
      <c r="D49" s="28">
        <v>8</v>
      </c>
      <c r="E49" s="28">
        <v>10</v>
      </c>
      <c r="F49" s="28">
        <v>9</v>
      </c>
      <c r="G49" s="28">
        <v>9</v>
      </c>
      <c r="H49" s="28">
        <v>0</v>
      </c>
      <c r="I49" s="28">
        <v>9</v>
      </c>
      <c r="J49" s="28">
        <v>9</v>
      </c>
      <c r="K49" s="28">
        <v>0</v>
      </c>
      <c r="L49" s="28">
        <v>8</v>
      </c>
      <c r="M49" s="28">
        <f t="shared" si="0"/>
        <v>26</v>
      </c>
      <c r="N49" s="28">
        <f t="shared" si="1"/>
        <v>81</v>
      </c>
    </row>
    <row r="50" ht="20" customHeight="1" spans="1:14">
      <c r="A50" s="29" t="s">
        <v>110</v>
      </c>
      <c r="B50" s="29" t="s">
        <v>111</v>
      </c>
      <c r="C50" s="28">
        <v>8</v>
      </c>
      <c r="D50" s="28">
        <v>8</v>
      </c>
      <c r="E50" s="28">
        <v>9</v>
      </c>
      <c r="F50" s="28">
        <v>9</v>
      </c>
      <c r="G50" s="28">
        <v>9</v>
      </c>
      <c r="H50" s="28">
        <v>8</v>
      </c>
      <c r="I50" s="28">
        <v>9</v>
      </c>
      <c r="J50" s="28">
        <v>0</v>
      </c>
      <c r="K50" s="28">
        <v>0</v>
      </c>
      <c r="L50" s="28">
        <v>8</v>
      </c>
      <c r="M50" s="28">
        <f t="shared" si="0"/>
        <v>17</v>
      </c>
      <c r="N50" s="28">
        <f t="shared" si="1"/>
        <v>72</v>
      </c>
    </row>
    <row r="51" ht="20" customHeight="1" spans="1:14">
      <c r="A51" s="29" t="s">
        <v>112</v>
      </c>
      <c r="B51" s="29" t="s">
        <v>113</v>
      </c>
      <c r="C51" s="28">
        <v>8</v>
      </c>
      <c r="D51" s="28">
        <v>8</v>
      </c>
      <c r="E51" s="28">
        <v>9</v>
      </c>
      <c r="F51" s="28">
        <v>0</v>
      </c>
      <c r="G51" s="28">
        <v>9</v>
      </c>
      <c r="H51" s="28">
        <v>8</v>
      </c>
      <c r="I51" s="28">
        <v>9</v>
      </c>
      <c r="J51" s="28">
        <v>9</v>
      </c>
      <c r="K51" s="28">
        <v>8</v>
      </c>
      <c r="L51" s="28">
        <v>8</v>
      </c>
      <c r="M51" s="28">
        <f t="shared" si="0"/>
        <v>34</v>
      </c>
      <c r="N51" s="28">
        <f t="shared" si="1"/>
        <v>89</v>
      </c>
    </row>
    <row r="52" ht="20" customHeight="1" spans="1:14">
      <c r="A52" s="29" t="s">
        <v>114</v>
      </c>
      <c r="B52" s="29" t="s">
        <v>115</v>
      </c>
      <c r="C52" s="28">
        <v>8</v>
      </c>
      <c r="D52" s="28">
        <v>8</v>
      </c>
      <c r="E52" s="28">
        <v>0</v>
      </c>
      <c r="F52" s="28">
        <v>9</v>
      </c>
      <c r="G52" s="28">
        <v>0</v>
      </c>
      <c r="H52" s="28">
        <v>10</v>
      </c>
      <c r="I52" s="28">
        <v>9</v>
      </c>
      <c r="J52" s="28">
        <v>9</v>
      </c>
      <c r="K52" s="28">
        <v>0</v>
      </c>
      <c r="L52" s="28">
        <v>8</v>
      </c>
      <c r="M52" s="28">
        <f t="shared" si="0"/>
        <v>26</v>
      </c>
      <c r="N52" s="28">
        <f t="shared" si="1"/>
        <v>81</v>
      </c>
    </row>
  </sheetData>
  <mergeCells count="1">
    <mergeCell ref="A1:N1"/>
  </mergeCells>
  <printOptions horizontalCentered="1" verticalCentered="1"/>
  <pageMargins left="0.751388888888889" right="0.751388888888889" top="1" bottom="1" header="0.5" footer="0.5"/>
  <pageSetup paperSize="9" scale="71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2"/>
  <sheetViews>
    <sheetView workbookViewId="0">
      <selection activeCell="E21" sqref="E21"/>
    </sheetView>
  </sheetViews>
  <sheetFormatPr defaultColWidth="8.88888888888889" defaultRowHeight="14.4"/>
  <cols>
    <col min="1" max="1" width="11.5555555555556" customWidth="1"/>
    <col min="3" max="3" width="11.3333333333333" customWidth="1"/>
    <col min="4" max="5" width="10.7777777777778" customWidth="1"/>
    <col min="6" max="6" width="11.4444444444444" customWidth="1"/>
    <col min="7" max="7" width="9.33333333333333" customWidth="1"/>
    <col min="11" max="11" width="9" customWidth="1"/>
    <col min="12" max="12" width="7.88888888888889" customWidth="1"/>
  </cols>
  <sheetData>
    <row r="1" ht="25" customHeight="1" spans="1:12">
      <c r="A1" s="24" t="s">
        <v>116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ht="45" customHeight="1" spans="1:12">
      <c r="A2" s="25" t="s">
        <v>1</v>
      </c>
      <c r="B2" s="25" t="s">
        <v>2</v>
      </c>
      <c r="C2" s="26" t="s">
        <v>117</v>
      </c>
      <c r="D2" s="26" t="s">
        <v>118</v>
      </c>
      <c r="E2" s="26" t="s">
        <v>119</v>
      </c>
      <c r="F2" s="26" t="s">
        <v>120</v>
      </c>
      <c r="G2" s="26" t="s">
        <v>121</v>
      </c>
      <c r="H2" s="26" t="s">
        <v>122</v>
      </c>
      <c r="I2" s="26" t="s">
        <v>123</v>
      </c>
      <c r="J2" s="26" t="s">
        <v>124</v>
      </c>
      <c r="K2" s="26" t="s">
        <v>125</v>
      </c>
      <c r="L2" s="11" t="s">
        <v>126</v>
      </c>
    </row>
    <row r="3" spans="1:12">
      <c r="A3" s="20" t="s">
        <v>15</v>
      </c>
      <c r="B3" s="20" t="s">
        <v>16</v>
      </c>
      <c r="C3" s="23">
        <v>80</v>
      </c>
      <c r="D3" s="23">
        <v>60</v>
      </c>
      <c r="E3" s="23">
        <v>90</v>
      </c>
      <c r="F3" s="23">
        <v>90</v>
      </c>
      <c r="G3" s="23">
        <v>80</v>
      </c>
      <c r="H3" s="23">
        <v>100</v>
      </c>
      <c r="I3" s="23">
        <v>80</v>
      </c>
      <c r="J3" s="23">
        <v>80</v>
      </c>
      <c r="K3" s="23">
        <v>0</v>
      </c>
      <c r="L3" s="27">
        <f>AVERAGE(C3:K3)</f>
        <v>73.3333333333333</v>
      </c>
    </row>
    <row r="4" spans="1:12">
      <c r="A4" s="20" t="s">
        <v>17</v>
      </c>
      <c r="B4" s="20" t="s">
        <v>18</v>
      </c>
      <c r="C4" s="23">
        <v>80</v>
      </c>
      <c r="D4" s="23">
        <v>70</v>
      </c>
      <c r="E4" s="23">
        <v>70</v>
      </c>
      <c r="F4" s="23">
        <v>90</v>
      </c>
      <c r="G4" s="23">
        <v>80</v>
      </c>
      <c r="H4" s="23">
        <v>70</v>
      </c>
      <c r="I4" s="23">
        <v>70</v>
      </c>
      <c r="J4" s="23">
        <v>80</v>
      </c>
      <c r="K4" s="23">
        <v>0</v>
      </c>
      <c r="L4" s="27">
        <f t="shared" ref="L4:L35" si="0">AVERAGE(C4:K4)</f>
        <v>67.7777777777778</v>
      </c>
    </row>
    <row r="5" spans="1:12">
      <c r="A5" s="20" t="s">
        <v>19</v>
      </c>
      <c r="B5" s="20" t="s">
        <v>20</v>
      </c>
      <c r="C5" s="23">
        <v>80</v>
      </c>
      <c r="D5" s="23">
        <v>70</v>
      </c>
      <c r="E5" s="23">
        <v>70</v>
      </c>
      <c r="F5" s="23">
        <v>90</v>
      </c>
      <c r="G5" s="23">
        <v>100</v>
      </c>
      <c r="H5" s="23">
        <v>80</v>
      </c>
      <c r="I5" s="23">
        <v>80</v>
      </c>
      <c r="J5" s="23">
        <v>80</v>
      </c>
      <c r="K5" s="23">
        <v>80</v>
      </c>
      <c r="L5" s="27">
        <f t="shared" si="0"/>
        <v>81.1111111111111</v>
      </c>
    </row>
    <row r="6" spans="1:12">
      <c r="A6" s="20" t="s">
        <v>21</v>
      </c>
      <c r="B6" s="20" t="s">
        <v>22</v>
      </c>
      <c r="C6" s="23">
        <v>80</v>
      </c>
      <c r="D6" s="23">
        <v>100</v>
      </c>
      <c r="E6" s="23">
        <v>80</v>
      </c>
      <c r="F6" s="23">
        <v>90</v>
      </c>
      <c r="G6" s="23">
        <v>100</v>
      </c>
      <c r="H6" s="23">
        <v>90</v>
      </c>
      <c r="I6" s="23">
        <v>90</v>
      </c>
      <c r="J6" s="23">
        <v>90</v>
      </c>
      <c r="K6" s="23">
        <v>80</v>
      </c>
      <c r="L6" s="27">
        <f t="shared" si="0"/>
        <v>88.8888888888889</v>
      </c>
    </row>
    <row r="7" spans="1:12">
      <c r="A7" s="20" t="s">
        <v>23</v>
      </c>
      <c r="B7" s="20" t="s">
        <v>24</v>
      </c>
      <c r="C7" s="23">
        <v>80</v>
      </c>
      <c r="D7" s="23">
        <v>100</v>
      </c>
      <c r="E7" s="23">
        <v>80</v>
      </c>
      <c r="F7" s="23">
        <v>90</v>
      </c>
      <c r="G7" s="23">
        <v>100</v>
      </c>
      <c r="H7" s="23">
        <v>100</v>
      </c>
      <c r="I7" s="23">
        <v>90</v>
      </c>
      <c r="J7" s="23">
        <v>90</v>
      </c>
      <c r="K7" s="23">
        <v>80</v>
      </c>
      <c r="L7" s="27">
        <f t="shared" si="0"/>
        <v>90</v>
      </c>
    </row>
    <row r="8" spans="1:12">
      <c r="A8" s="20" t="s">
        <v>25</v>
      </c>
      <c r="B8" s="20" t="s">
        <v>26</v>
      </c>
      <c r="C8" s="23">
        <v>80</v>
      </c>
      <c r="D8" s="23">
        <v>80</v>
      </c>
      <c r="E8" s="23">
        <v>70</v>
      </c>
      <c r="F8" s="23">
        <v>90</v>
      </c>
      <c r="G8" s="23">
        <v>100</v>
      </c>
      <c r="H8" s="23">
        <v>90</v>
      </c>
      <c r="I8" s="23">
        <v>80</v>
      </c>
      <c r="J8" s="23">
        <v>80</v>
      </c>
      <c r="K8" s="23">
        <v>80</v>
      </c>
      <c r="L8" s="27">
        <f t="shared" si="0"/>
        <v>83.3333333333333</v>
      </c>
    </row>
    <row r="9" spans="1:12">
      <c r="A9" s="20" t="s">
        <v>27</v>
      </c>
      <c r="B9" s="20" t="s">
        <v>28</v>
      </c>
      <c r="C9" s="23">
        <v>70</v>
      </c>
      <c r="D9" s="23">
        <v>50</v>
      </c>
      <c r="E9" s="23">
        <v>60</v>
      </c>
      <c r="F9" s="23">
        <v>90</v>
      </c>
      <c r="G9" s="23">
        <v>90</v>
      </c>
      <c r="H9" s="23">
        <v>90</v>
      </c>
      <c r="I9" s="23">
        <v>80</v>
      </c>
      <c r="J9" s="23">
        <v>90</v>
      </c>
      <c r="K9" s="23">
        <v>80</v>
      </c>
      <c r="L9" s="27">
        <f t="shared" si="0"/>
        <v>77.7777777777778</v>
      </c>
    </row>
    <row r="10" spans="1:12">
      <c r="A10" s="20" t="s">
        <v>29</v>
      </c>
      <c r="B10" s="20" t="s">
        <v>30</v>
      </c>
      <c r="C10" s="23">
        <v>80</v>
      </c>
      <c r="D10" s="23">
        <v>60</v>
      </c>
      <c r="E10" s="23">
        <v>60</v>
      </c>
      <c r="F10" s="23">
        <v>90</v>
      </c>
      <c r="G10" s="23">
        <v>100</v>
      </c>
      <c r="H10" s="23">
        <v>90</v>
      </c>
      <c r="I10" s="23">
        <v>80</v>
      </c>
      <c r="J10" s="23">
        <v>90</v>
      </c>
      <c r="K10" s="23">
        <v>80</v>
      </c>
      <c r="L10" s="27">
        <f t="shared" si="0"/>
        <v>81.1111111111111</v>
      </c>
    </row>
    <row r="11" spans="1:12">
      <c r="A11" s="20" t="s">
        <v>31</v>
      </c>
      <c r="B11" s="20" t="s">
        <v>32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7">
        <v>0</v>
      </c>
    </row>
    <row r="12" spans="1:12">
      <c r="A12" s="20" t="s">
        <v>33</v>
      </c>
      <c r="B12" s="20" t="s">
        <v>34</v>
      </c>
      <c r="C12" s="23">
        <v>80</v>
      </c>
      <c r="D12" s="23">
        <v>70</v>
      </c>
      <c r="E12" s="23">
        <v>60</v>
      </c>
      <c r="F12" s="23">
        <v>90</v>
      </c>
      <c r="G12" s="23">
        <v>100</v>
      </c>
      <c r="H12" s="23">
        <v>70</v>
      </c>
      <c r="I12" s="23">
        <v>80</v>
      </c>
      <c r="J12" s="23">
        <v>90</v>
      </c>
      <c r="K12" s="23">
        <v>70</v>
      </c>
      <c r="L12" s="27">
        <f t="shared" si="0"/>
        <v>78.8888888888889</v>
      </c>
    </row>
    <row r="13" spans="1:12">
      <c r="A13" s="20" t="s">
        <v>35</v>
      </c>
      <c r="B13" s="20" t="s">
        <v>36</v>
      </c>
      <c r="C13" s="23">
        <v>60</v>
      </c>
      <c r="D13" s="23">
        <v>50</v>
      </c>
      <c r="E13" s="23">
        <v>70</v>
      </c>
      <c r="F13" s="23">
        <v>90</v>
      </c>
      <c r="G13" s="23">
        <v>100</v>
      </c>
      <c r="H13" s="23">
        <v>100</v>
      </c>
      <c r="I13" s="23">
        <v>80</v>
      </c>
      <c r="J13" s="23">
        <v>80</v>
      </c>
      <c r="K13" s="23">
        <v>80</v>
      </c>
      <c r="L13" s="27">
        <f t="shared" si="0"/>
        <v>78.8888888888889</v>
      </c>
    </row>
    <row r="14" spans="1:12">
      <c r="A14" s="20" t="s">
        <v>37</v>
      </c>
      <c r="B14" s="20" t="s">
        <v>38</v>
      </c>
      <c r="C14" s="23">
        <v>80</v>
      </c>
      <c r="D14" s="23">
        <v>70</v>
      </c>
      <c r="E14" s="23">
        <v>60</v>
      </c>
      <c r="F14" s="23">
        <v>100</v>
      </c>
      <c r="G14" s="23">
        <v>100</v>
      </c>
      <c r="H14" s="23">
        <v>100</v>
      </c>
      <c r="I14" s="23">
        <v>90</v>
      </c>
      <c r="J14" s="23">
        <v>90</v>
      </c>
      <c r="K14" s="23">
        <v>80</v>
      </c>
      <c r="L14" s="27">
        <f t="shared" si="0"/>
        <v>85.5555555555556</v>
      </c>
    </row>
    <row r="15" spans="1:12">
      <c r="A15" s="20" t="s">
        <v>39</v>
      </c>
      <c r="B15" s="20" t="s">
        <v>40</v>
      </c>
      <c r="C15" s="23">
        <v>80</v>
      </c>
      <c r="D15" s="23">
        <v>60</v>
      </c>
      <c r="E15" s="23">
        <v>60</v>
      </c>
      <c r="F15" s="23">
        <v>90</v>
      </c>
      <c r="G15" s="23">
        <v>100</v>
      </c>
      <c r="H15" s="23">
        <v>90</v>
      </c>
      <c r="I15" s="23">
        <v>80</v>
      </c>
      <c r="J15" s="23">
        <v>90</v>
      </c>
      <c r="K15" s="23">
        <v>70</v>
      </c>
      <c r="L15" s="27">
        <f t="shared" si="0"/>
        <v>80</v>
      </c>
    </row>
    <row r="16" spans="1:12">
      <c r="A16" s="20" t="s">
        <v>41</v>
      </c>
      <c r="B16" s="20" t="s">
        <v>42</v>
      </c>
      <c r="C16" s="23">
        <v>60</v>
      </c>
      <c r="D16" s="23">
        <v>60</v>
      </c>
      <c r="E16" s="23">
        <v>70</v>
      </c>
      <c r="F16" s="23">
        <v>90</v>
      </c>
      <c r="G16" s="23">
        <v>100</v>
      </c>
      <c r="H16" s="23">
        <v>100</v>
      </c>
      <c r="I16" s="23">
        <v>90</v>
      </c>
      <c r="J16" s="23">
        <v>80</v>
      </c>
      <c r="K16" s="23">
        <v>80</v>
      </c>
      <c r="L16" s="27">
        <f t="shared" si="0"/>
        <v>81.1111111111111</v>
      </c>
    </row>
    <row r="17" spans="1:12">
      <c r="A17" s="20" t="s">
        <v>43</v>
      </c>
      <c r="B17" s="20" t="s">
        <v>44</v>
      </c>
      <c r="C17" s="23">
        <v>80</v>
      </c>
      <c r="D17" s="23">
        <v>70</v>
      </c>
      <c r="E17" s="23">
        <v>60</v>
      </c>
      <c r="F17" s="23">
        <v>90</v>
      </c>
      <c r="G17" s="23">
        <v>100</v>
      </c>
      <c r="H17" s="23">
        <v>100</v>
      </c>
      <c r="I17" s="23">
        <v>90</v>
      </c>
      <c r="J17" s="23">
        <v>90</v>
      </c>
      <c r="K17" s="23">
        <v>80</v>
      </c>
      <c r="L17" s="27">
        <f t="shared" si="0"/>
        <v>84.4444444444444</v>
      </c>
    </row>
    <row r="18" spans="1:12">
      <c r="A18" s="20" t="s">
        <v>45</v>
      </c>
      <c r="B18" s="20" t="s">
        <v>46</v>
      </c>
      <c r="C18" s="23">
        <v>80</v>
      </c>
      <c r="D18" s="23">
        <v>100</v>
      </c>
      <c r="E18" s="23">
        <v>80</v>
      </c>
      <c r="F18" s="23">
        <v>90</v>
      </c>
      <c r="G18" s="23">
        <v>80</v>
      </c>
      <c r="H18" s="23">
        <v>100</v>
      </c>
      <c r="I18" s="23">
        <v>80</v>
      </c>
      <c r="J18" s="23">
        <v>90</v>
      </c>
      <c r="K18" s="23">
        <v>80</v>
      </c>
      <c r="L18" s="27">
        <f t="shared" si="0"/>
        <v>86.6666666666667</v>
      </c>
    </row>
    <row r="19" spans="1:12">
      <c r="A19" s="20" t="s">
        <v>47</v>
      </c>
      <c r="B19" s="20" t="s">
        <v>48</v>
      </c>
      <c r="C19" s="23">
        <v>70</v>
      </c>
      <c r="D19" s="23">
        <v>100</v>
      </c>
      <c r="E19" s="23">
        <v>80</v>
      </c>
      <c r="F19" s="23">
        <v>90</v>
      </c>
      <c r="G19" s="23">
        <v>100</v>
      </c>
      <c r="H19" s="23">
        <v>90</v>
      </c>
      <c r="I19" s="23">
        <v>70</v>
      </c>
      <c r="J19" s="23">
        <v>90</v>
      </c>
      <c r="K19" s="23">
        <v>80</v>
      </c>
      <c r="L19" s="27">
        <f t="shared" si="0"/>
        <v>85.5555555555556</v>
      </c>
    </row>
    <row r="20" spans="1:12">
      <c r="A20" s="20" t="s">
        <v>49</v>
      </c>
      <c r="B20" s="20" t="s">
        <v>50</v>
      </c>
      <c r="C20" s="23">
        <v>0</v>
      </c>
      <c r="D20" s="23">
        <v>70</v>
      </c>
      <c r="E20" s="23">
        <v>90</v>
      </c>
      <c r="F20" s="23">
        <v>90</v>
      </c>
      <c r="G20" s="23">
        <v>80</v>
      </c>
      <c r="H20" s="23">
        <v>80</v>
      </c>
      <c r="I20" s="23">
        <v>80</v>
      </c>
      <c r="J20" s="23">
        <v>80</v>
      </c>
      <c r="K20" s="23">
        <v>0</v>
      </c>
      <c r="L20" s="27">
        <f t="shared" si="0"/>
        <v>63.3333333333333</v>
      </c>
    </row>
    <row r="21" spans="1:12">
      <c r="A21" s="20" t="s">
        <v>51</v>
      </c>
      <c r="B21" s="20" t="s">
        <v>52</v>
      </c>
      <c r="C21" s="23">
        <v>50</v>
      </c>
      <c r="D21" s="23">
        <v>100</v>
      </c>
      <c r="E21" s="23">
        <v>50</v>
      </c>
      <c r="F21" s="23">
        <v>90</v>
      </c>
      <c r="G21" s="23">
        <v>90</v>
      </c>
      <c r="H21" s="23">
        <v>80</v>
      </c>
      <c r="I21" s="23">
        <v>70</v>
      </c>
      <c r="J21" s="23">
        <v>80</v>
      </c>
      <c r="K21" s="23">
        <v>70</v>
      </c>
      <c r="L21" s="27">
        <f t="shared" si="0"/>
        <v>75.5555555555556</v>
      </c>
    </row>
    <row r="22" spans="1:12">
      <c r="A22" s="20" t="s">
        <v>53</v>
      </c>
      <c r="B22" s="20" t="s">
        <v>54</v>
      </c>
      <c r="C22" s="23">
        <v>50</v>
      </c>
      <c r="D22" s="23">
        <v>60</v>
      </c>
      <c r="E22" s="23">
        <v>90</v>
      </c>
      <c r="F22" s="23">
        <v>90</v>
      </c>
      <c r="G22" s="23">
        <v>100</v>
      </c>
      <c r="H22" s="23">
        <v>70</v>
      </c>
      <c r="I22" s="23">
        <v>70</v>
      </c>
      <c r="J22" s="23">
        <v>90</v>
      </c>
      <c r="K22" s="23">
        <v>70</v>
      </c>
      <c r="L22" s="27">
        <f t="shared" si="0"/>
        <v>76.6666666666667</v>
      </c>
    </row>
    <row r="23" spans="1:12">
      <c r="A23" s="20" t="s">
        <v>55</v>
      </c>
      <c r="B23" s="20" t="s">
        <v>56</v>
      </c>
      <c r="C23" s="23">
        <v>80</v>
      </c>
      <c r="D23" s="23">
        <v>80</v>
      </c>
      <c r="E23" s="23">
        <v>70</v>
      </c>
      <c r="F23" s="23">
        <v>90</v>
      </c>
      <c r="G23" s="23">
        <v>80</v>
      </c>
      <c r="H23" s="23">
        <v>90</v>
      </c>
      <c r="I23" s="23">
        <v>90</v>
      </c>
      <c r="J23" s="23">
        <v>80</v>
      </c>
      <c r="K23" s="23">
        <v>70</v>
      </c>
      <c r="L23" s="27">
        <f t="shared" si="0"/>
        <v>81.1111111111111</v>
      </c>
    </row>
    <row r="24" spans="1:12">
      <c r="A24" s="20" t="s">
        <v>58</v>
      </c>
      <c r="B24" s="20" t="s">
        <v>59</v>
      </c>
      <c r="C24" s="23">
        <v>50</v>
      </c>
      <c r="D24" s="23">
        <v>80</v>
      </c>
      <c r="E24" s="23">
        <v>90</v>
      </c>
      <c r="F24" s="23">
        <v>90</v>
      </c>
      <c r="G24" s="23">
        <v>100</v>
      </c>
      <c r="H24" s="23">
        <v>90</v>
      </c>
      <c r="I24" s="23">
        <v>80</v>
      </c>
      <c r="J24" s="23">
        <v>80</v>
      </c>
      <c r="K24" s="23">
        <v>0</v>
      </c>
      <c r="L24" s="27">
        <f t="shared" si="0"/>
        <v>73.3333333333333</v>
      </c>
    </row>
    <row r="25" spans="1:12">
      <c r="A25" s="20" t="s">
        <v>60</v>
      </c>
      <c r="B25" s="20" t="s">
        <v>61</v>
      </c>
      <c r="C25" s="23">
        <v>80</v>
      </c>
      <c r="D25" s="23">
        <v>80</v>
      </c>
      <c r="E25" s="23">
        <v>80</v>
      </c>
      <c r="F25" s="23">
        <v>90</v>
      </c>
      <c r="G25" s="23">
        <v>100</v>
      </c>
      <c r="H25" s="23">
        <v>90</v>
      </c>
      <c r="I25" s="23">
        <v>80</v>
      </c>
      <c r="J25" s="23">
        <v>80</v>
      </c>
      <c r="K25" s="23">
        <v>70</v>
      </c>
      <c r="L25" s="27">
        <f t="shared" si="0"/>
        <v>83.3333333333333</v>
      </c>
    </row>
    <row r="26" spans="1:12">
      <c r="A26" s="20" t="s">
        <v>62</v>
      </c>
      <c r="B26" s="20" t="s">
        <v>63</v>
      </c>
      <c r="C26" s="23">
        <v>50</v>
      </c>
      <c r="D26" s="23">
        <v>100</v>
      </c>
      <c r="E26" s="23">
        <v>70</v>
      </c>
      <c r="F26" s="23">
        <v>90</v>
      </c>
      <c r="G26" s="23">
        <v>90</v>
      </c>
      <c r="H26" s="23">
        <v>80</v>
      </c>
      <c r="I26" s="23">
        <v>80</v>
      </c>
      <c r="J26" s="23">
        <v>80</v>
      </c>
      <c r="K26" s="23">
        <v>80</v>
      </c>
      <c r="L26" s="27">
        <f t="shared" si="0"/>
        <v>80</v>
      </c>
    </row>
    <row r="27" spans="1:12">
      <c r="A27" s="20" t="s">
        <v>64</v>
      </c>
      <c r="B27" s="20" t="s">
        <v>65</v>
      </c>
      <c r="C27" s="23">
        <v>80</v>
      </c>
      <c r="D27" s="23">
        <v>70</v>
      </c>
      <c r="E27" s="23">
        <v>90</v>
      </c>
      <c r="F27" s="23">
        <v>90</v>
      </c>
      <c r="G27" s="23">
        <v>100</v>
      </c>
      <c r="H27" s="23">
        <v>100</v>
      </c>
      <c r="I27" s="23">
        <v>90</v>
      </c>
      <c r="J27" s="23">
        <v>80</v>
      </c>
      <c r="K27" s="23">
        <v>80</v>
      </c>
      <c r="L27" s="27">
        <f t="shared" si="0"/>
        <v>86.6666666666667</v>
      </c>
    </row>
    <row r="28" spans="1:12">
      <c r="A28" s="20" t="s">
        <v>66</v>
      </c>
      <c r="B28" s="20" t="s">
        <v>67</v>
      </c>
      <c r="C28" s="23">
        <v>60</v>
      </c>
      <c r="D28" s="23">
        <v>100</v>
      </c>
      <c r="E28" s="23">
        <v>70</v>
      </c>
      <c r="F28" s="23">
        <v>90</v>
      </c>
      <c r="G28" s="23">
        <v>100</v>
      </c>
      <c r="H28" s="23">
        <v>90</v>
      </c>
      <c r="I28" s="23">
        <v>80</v>
      </c>
      <c r="J28" s="23">
        <v>80</v>
      </c>
      <c r="K28" s="23">
        <v>80</v>
      </c>
      <c r="L28" s="27">
        <f t="shared" si="0"/>
        <v>83.3333333333333</v>
      </c>
    </row>
    <row r="29" spans="1:12">
      <c r="A29" s="20" t="s">
        <v>68</v>
      </c>
      <c r="B29" s="20" t="s">
        <v>69</v>
      </c>
      <c r="C29" s="23">
        <v>80</v>
      </c>
      <c r="D29" s="23">
        <v>100</v>
      </c>
      <c r="E29" s="23">
        <v>80</v>
      </c>
      <c r="F29" s="23">
        <v>90</v>
      </c>
      <c r="G29" s="23">
        <v>100</v>
      </c>
      <c r="H29" s="23">
        <v>90</v>
      </c>
      <c r="I29" s="23">
        <v>70</v>
      </c>
      <c r="J29" s="23">
        <v>90</v>
      </c>
      <c r="K29" s="23">
        <v>0</v>
      </c>
      <c r="L29" s="27">
        <f t="shared" si="0"/>
        <v>77.7777777777778</v>
      </c>
    </row>
    <row r="30" spans="1:12">
      <c r="A30" s="20" t="s">
        <v>70</v>
      </c>
      <c r="B30" s="20" t="s">
        <v>71</v>
      </c>
      <c r="C30" s="23">
        <v>80</v>
      </c>
      <c r="D30" s="23">
        <v>70</v>
      </c>
      <c r="E30" s="23">
        <v>70</v>
      </c>
      <c r="F30" s="23">
        <v>90</v>
      </c>
      <c r="G30" s="23">
        <v>80</v>
      </c>
      <c r="H30" s="23">
        <v>70</v>
      </c>
      <c r="I30" s="23">
        <v>80</v>
      </c>
      <c r="J30" s="23">
        <v>70</v>
      </c>
      <c r="K30" s="23">
        <v>80</v>
      </c>
      <c r="L30" s="27">
        <f t="shared" si="0"/>
        <v>76.6666666666667</v>
      </c>
    </row>
    <row r="31" spans="1:12">
      <c r="A31" s="20" t="s">
        <v>72</v>
      </c>
      <c r="B31" s="20" t="s">
        <v>73</v>
      </c>
      <c r="C31" s="23">
        <v>50</v>
      </c>
      <c r="D31" s="23">
        <v>90</v>
      </c>
      <c r="E31" s="23">
        <v>70</v>
      </c>
      <c r="F31" s="23">
        <v>90</v>
      </c>
      <c r="G31" s="23">
        <v>90</v>
      </c>
      <c r="H31" s="23">
        <v>80</v>
      </c>
      <c r="I31" s="23">
        <v>80</v>
      </c>
      <c r="J31" s="23">
        <v>80</v>
      </c>
      <c r="K31" s="23">
        <v>0</v>
      </c>
      <c r="L31" s="27">
        <f t="shared" si="0"/>
        <v>70</v>
      </c>
    </row>
    <row r="32" spans="1:12">
      <c r="A32" s="20" t="s">
        <v>74</v>
      </c>
      <c r="B32" s="20" t="s">
        <v>75</v>
      </c>
      <c r="C32" s="23">
        <v>80</v>
      </c>
      <c r="D32" s="23">
        <v>70</v>
      </c>
      <c r="E32" s="23">
        <v>70</v>
      </c>
      <c r="F32" s="23">
        <v>90</v>
      </c>
      <c r="G32" s="23">
        <v>100</v>
      </c>
      <c r="H32" s="23">
        <v>60</v>
      </c>
      <c r="I32" s="23">
        <v>70</v>
      </c>
      <c r="J32" s="23">
        <v>70</v>
      </c>
      <c r="K32" s="23">
        <v>0</v>
      </c>
      <c r="L32" s="27">
        <f t="shared" si="0"/>
        <v>67.7777777777778</v>
      </c>
    </row>
    <row r="33" spans="1:12">
      <c r="A33" s="20" t="s">
        <v>76</v>
      </c>
      <c r="B33" s="20" t="s">
        <v>77</v>
      </c>
      <c r="C33" s="23">
        <v>50</v>
      </c>
      <c r="D33" s="23">
        <v>80</v>
      </c>
      <c r="E33" s="23">
        <v>60</v>
      </c>
      <c r="F33" s="23">
        <v>90</v>
      </c>
      <c r="G33" s="23">
        <v>90</v>
      </c>
      <c r="H33" s="23">
        <v>70</v>
      </c>
      <c r="I33" s="23">
        <v>80</v>
      </c>
      <c r="J33" s="23">
        <v>80</v>
      </c>
      <c r="K33" s="23">
        <v>0</v>
      </c>
      <c r="L33" s="27">
        <f t="shared" si="0"/>
        <v>66.6666666666667</v>
      </c>
    </row>
    <row r="34" spans="1:12">
      <c r="A34" s="20" t="s">
        <v>78</v>
      </c>
      <c r="B34" s="20" t="s">
        <v>79</v>
      </c>
      <c r="C34" s="23">
        <v>50</v>
      </c>
      <c r="D34" s="23">
        <v>80</v>
      </c>
      <c r="E34" s="23">
        <v>80</v>
      </c>
      <c r="F34" s="23">
        <v>90</v>
      </c>
      <c r="G34" s="23">
        <v>100</v>
      </c>
      <c r="H34" s="23">
        <v>80</v>
      </c>
      <c r="I34" s="23">
        <v>80</v>
      </c>
      <c r="J34" s="23">
        <v>80</v>
      </c>
      <c r="K34" s="23">
        <v>0</v>
      </c>
      <c r="L34" s="27">
        <f t="shared" si="0"/>
        <v>71.1111111111111</v>
      </c>
    </row>
    <row r="35" spans="1:12">
      <c r="A35" s="20" t="s">
        <v>80</v>
      </c>
      <c r="B35" s="20" t="s">
        <v>81</v>
      </c>
      <c r="C35" s="23">
        <v>70</v>
      </c>
      <c r="D35" s="23">
        <v>70</v>
      </c>
      <c r="E35" s="23">
        <v>60</v>
      </c>
      <c r="F35" s="23">
        <v>90</v>
      </c>
      <c r="G35" s="23">
        <v>100</v>
      </c>
      <c r="H35" s="23">
        <v>100</v>
      </c>
      <c r="I35" s="23">
        <v>80</v>
      </c>
      <c r="J35" s="23">
        <v>80</v>
      </c>
      <c r="K35" s="23">
        <v>80</v>
      </c>
      <c r="L35" s="27">
        <f t="shared" si="0"/>
        <v>81.1111111111111</v>
      </c>
    </row>
    <row r="36" spans="1:12">
      <c r="A36" s="20" t="s">
        <v>82</v>
      </c>
      <c r="B36" s="20" t="s">
        <v>83</v>
      </c>
      <c r="C36" s="23">
        <v>60</v>
      </c>
      <c r="D36" s="23">
        <v>80</v>
      </c>
      <c r="E36" s="23">
        <v>70</v>
      </c>
      <c r="F36" s="23">
        <v>90</v>
      </c>
      <c r="G36" s="23">
        <v>90</v>
      </c>
      <c r="H36" s="23">
        <v>90</v>
      </c>
      <c r="I36" s="23">
        <v>80</v>
      </c>
      <c r="J36" s="23">
        <v>80</v>
      </c>
      <c r="K36" s="23">
        <v>80</v>
      </c>
      <c r="L36" s="27">
        <f t="shared" ref="L36:L52" si="1">AVERAGE(C36:K36)</f>
        <v>80</v>
      </c>
    </row>
    <row r="37" spans="1:12">
      <c r="A37" s="20" t="s">
        <v>84</v>
      </c>
      <c r="B37" s="20" t="s">
        <v>85</v>
      </c>
      <c r="C37" s="23">
        <v>80</v>
      </c>
      <c r="D37" s="23">
        <v>80</v>
      </c>
      <c r="E37" s="23">
        <v>70</v>
      </c>
      <c r="F37" s="23">
        <v>90</v>
      </c>
      <c r="G37" s="23">
        <v>80</v>
      </c>
      <c r="H37" s="23">
        <v>80</v>
      </c>
      <c r="I37" s="23">
        <v>70</v>
      </c>
      <c r="J37" s="23">
        <v>80</v>
      </c>
      <c r="K37" s="23">
        <v>0</v>
      </c>
      <c r="L37" s="27">
        <f t="shared" si="1"/>
        <v>70</v>
      </c>
    </row>
    <row r="38" spans="1:12">
      <c r="A38" s="20" t="s">
        <v>86</v>
      </c>
      <c r="B38" s="20" t="s">
        <v>87</v>
      </c>
      <c r="C38" s="23">
        <v>60</v>
      </c>
      <c r="D38" s="23">
        <v>90</v>
      </c>
      <c r="E38" s="23">
        <v>70</v>
      </c>
      <c r="F38" s="23">
        <v>90</v>
      </c>
      <c r="G38" s="23">
        <v>90</v>
      </c>
      <c r="H38" s="23">
        <v>100</v>
      </c>
      <c r="I38" s="23">
        <v>90</v>
      </c>
      <c r="J38" s="23">
        <v>80</v>
      </c>
      <c r="K38" s="23">
        <v>80</v>
      </c>
      <c r="L38" s="27">
        <f t="shared" si="1"/>
        <v>83.3333333333333</v>
      </c>
    </row>
    <row r="39" spans="1:12">
      <c r="A39" s="20" t="s">
        <v>88</v>
      </c>
      <c r="B39" s="20" t="s">
        <v>89</v>
      </c>
      <c r="C39" s="23">
        <v>80</v>
      </c>
      <c r="D39" s="23">
        <v>70</v>
      </c>
      <c r="E39" s="23">
        <v>70</v>
      </c>
      <c r="F39" s="23">
        <v>90</v>
      </c>
      <c r="G39" s="23">
        <v>90</v>
      </c>
      <c r="H39" s="23">
        <v>80</v>
      </c>
      <c r="I39" s="23">
        <v>80</v>
      </c>
      <c r="J39" s="23">
        <v>80</v>
      </c>
      <c r="K39" s="23">
        <v>80</v>
      </c>
      <c r="L39" s="27">
        <f t="shared" si="1"/>
        <v>80</v>
      </c>
    </row>
    <row r="40" spans="1:12">
      <c r="A40" s="20" t="s">
        <v>90</v>
      </c>
      <c r="B40" s="20" t="s">
        <v>91</v>
      </c>
      <c r="C40" s="23">
        <v>80</v>
      </c>
      <c r="D40" s="23">
        <v>60</v>
      </c>
      <c r="E40" s="23">
        <v>70</v>
      </c>
      <c r="F40" s="23">
        <v>90</v>
      </c>
      <c r="G40" s="23">
        <v>100</v>
      </c>
      <c r="H40" s="23">
        <v>90</v>
      </c>
      <c r="I40" s="23">
        <v>80</v>
      </c>
      <c r="J40" s="23">
        <v>70</v>
      </c>
      <c r="K40" s="23">
        <v>80</v>
      </c>
      <c r="L40" s="27">
        <f t="shared" si="1"/>
        <v>80</v>
      </c>
    </row>
    <row r="41" spans="1:12">
      <c r="A41" s="20" t="s">
        <v>92</v>
      </c>
      <c r="B41" s="20" t="s">
        <v>93</v>
      </c>
      <c r="C41" s="23">
        <v>80</v>
      </c>
      <c r="D41" s="23">
        <v>70</v>
      </c>
      <c r="E41" s="23">
        <v>70</v>
      </c>
      <c r="F41" s="23">
        <v>90</v>
      </c>
      <c r="G41" s="23">
        <v>100</v>
      </c>
      <c r="H41" s="23">
        <v>80</v>
      </c>
      <c r="I41" s="23">
        <v>80</v>
      </c>
      <c r="J41" s="23">
        <v>80</v>
      </c>
      <c r="K41" s="23">
        <v>80</v>
      </c>
      <c r="L41" s="27">
        <f t="shared" si="1"/>
        <v>81.1111111111111</v>
      </c>
    </row>
    <row r="42" spans="1:12">
      <c r="A42" s="20" t="s">
        <v>94</v>
      </c>
      <c r="B42" s="20" t="s">
        <v>95</v>
      </c>
      <c r="C42" s="23">
        <v>70</v>
      </c>
      <c r="D42" s="23">
        <v>80</v>
      </c>
      <c r="E42" s="23">
        <v>70</v>
      </c>
      <c r="F42" s="23">
        <v>90</v>
      </c>
      <c r="G42" s="23">
        <v>100</v>
      </c>
      <c r="H42" s="23">
        <v>90</v>
      </c>
      <c r="I42" s="23">
        <v>80</v>
      </c>
      <c r="J42" s="23">
        <v>80</v>
      </c>
      <c r="K42" s="23">
        <v>80</v>
      </c>
      <c r="L42" s="27">
        <f t="shared" si="1"/>
        <v>82.2222222222222</v>
      </c>
    </row>
    <row r="43" spans="1:12">
      <c r="A43" s="20" t="s">
        <v>96</v>
      </c>
      <c r="B43" s="20" t="s">
        <v>97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7">
        <v>0</v>
      </c>
    </row>
    <row r="44" spans="1:12">
      <c r="A44" s="20" t="s">
        <v>98</v>
      </c>
      <c r="B44" s="20" t="s">
        <v>99</v>
      </c>
      <c r="C44" s="23">
        <v>80</v>
      </c>
      <c r="D44" s="23">
        <v>80</v>
      </c>
      <c r="E44" s="23">
        <v>70</v>
      </c>
      <c r="F44" s="23">
        <v>90</v>
      </c>
      <c r="G44" s="23">
        <v>100</v>
      </c>
      <c r="H44" s="23">
        <v>100</v>
      </c>
      <c r="I44" s="23">
        <v>90</v>
      </c>
      <c r="J44" s="23">
        <v>80</v>
      </c>
      <c r="K44" s="23">
        <v>70</v>
      </c>
      <c r="L44" s="27">
        <f t="shared" si="1"/>
        <v>84.4444444444444</v>
      </c>
    </row>
    <row r="45" spans="1:12">
      <c r="A45" s="20" t="s">
        <v>100</v>
      </c>
      <c r="B45" s="20" t="s">
        <v>101</v>
      </c>
      <c r="C45" s="23">
        <v>80</v>
      </c>
      <c r="D45" s="23">
        <v>70</v>
      </c>
      <c r="E45" s="23">
        <v>70</v>
      </c>
      <c r="F45" s="23">
        <v>90</v>
      </c>
      <c r="G45" s="23">
        <v>100</v>
      </c>
      <c r="H45" s="23">
        <v>70</v>
      </c>
      <c r="I45" s="23">
        <v>80</v>
      </c>
      <c r="J45" s="23">
        <v>70</v>
      </c>
      <c r="K45" s="23">
        <v>70</v>
      </c>
      <c r="L45" s="27">
        <f t="shared" si="1"/>
        <v>77.7777777777778</v>
      </c>
    </row>
    <row r="46" spans="1:12">
      <c r="A46" s="20" t="s">
        <v>102</v>
      </c>
      <c r="B46" s="20" t="s">
        <v>103</v>
      </c>
      <c r="C46" s="23">
        <v>80</v>
      </c>
      <c r="D46" s="23">
        <v>70</v>
      </c>
      <c r="E46" s="23">
        <v>90</v>
      </c>
      <c r="F46" s="23">
        <v>90</v>
      </c>
      <c r="G46" s="23">
        <v>90</v>
      </c>
      <c r="H46" s="23">
        <v>80</v>
      </c>
      <c r="I46" s="23">
        <v>70</v>
      </c>
      <c r="J46" s="23">
        <v>80</v>
      </c>
      <c r="K46" s="23">
        <v>70</v>
      </c>
      <c r="L46" s="27">
        <f t="shared" si="1"/>
        <v>80</v>
      </c>
    </row>
    <row r="47" spans="1:12">
      <c r="A47" s="20" t="s">
        <v>104</v>
      </c>
      <c r="B47" s="20" t="s">
        <v>105</v>
      </c>
      <c r="C47" s="23">
        <v>80</v>
      </c>
      <c r="D47" s="23">
        <v>70</v>
      </c>
      <c r="E47" s="23">
        <v>90</v>
      </c>
      <c r="F47" s="23">
        <v>90</v>
      </c>
      <c r="G47" s="23">
        <v>90</v>
      </c>
      <c r="H47" s="23">
        <v>80</v>
      </c>
      <c r="I47" s="23">
        <v>90</v>
      </c>
      <c r="J47" s="23">
        <v>60</v>
      </c>
      <c r="K47" s="23">
        <v>80</v>
      </c>
      <c r="L47" s="27">
        <f t="shared" si="1"/>
        <v>81.1111111111111</v>
      </c>
    </row>
    <row r="48" spans="1:12">
      <c r="A48" s="20" t="s">
        <v>106</v>
      </c>
      <c r="B48" s="20" t="s">
        <v>107</v>
      </c>
      <c r="C48" s="23">
        <v>80</v>
      </c>
      <c r="D48" s="23">
        <v>60</v>
      </c>
      <c r="E48" s="23">
        <v>70</v>
      </c>
      <c r="F48" s="23">
        <v>90</v>
      </c>
      <c r="G48" s="23">
        <v>90</v>
      </c>
      <c r="H48" s="23">
        <v>90</v>
      </c>
      <c r="I48" s="23">
        <v>80</v>
      </c>
      <c r="J48" s="23">
        <v>80</v>
      </c>
      <c r="K48" s="23">
        <v>0</v>
      </c>
      <c r="L48" s="27">
        <f t="shared" si="1"/>
        <v>71.1111111111111</v>
      </c>
    </row>
    <row r="49" spans="1:12">
      <c r="A49" s="20" t="s">
        <v>108</v>
      </c>
      <c r="B49" s="20" t="s">
        <v>109</v>
      </c>
      <c r="C49" s="23">
        <v>80</v>
      </c>
      <c r="D49" s="23">
        <v>70</v>
      </c>
      <c r="E49" s="23">
        <v>70</v>
      </c>
      <c r="F49" s="23">
        <v>90</v>
      </c>
      <c r="G49" s="23">
        <v>100</v>
      </c>
      <c r="H49" s="23">
        <v>90</v>
      </c>
      <c r="I49" s="23">
        <v>80</v>
      </c>
      <c r="J49" s="23">
        <v>80</v>
      </c>
      <c r="K49" s="23">
        <v>70</v>
      </c>
      <c r="L49" s="27">
        <f t="shared" si="1"/>
        <v>81.1111111111111</v>
      </c>
    </row>
    <row r="50" spans="1:12">
      <c r="A50" s="20" t="s">
        <v>110</v>
      </c>
      <c r="B50" s="20" t="s">
        <v>111</v>
      </c>
      <c r="C50" s="23">
        <v>80</v>
      </c>
      <c r="D50" s="23">
        <v>0</v>
      </c>
      <c r="E50" s="23">
        <v>60</v>
      </c>
      <c r="F50" s="23">
        <v>0</v>
      </c>
      <c r="G50" s="23">
        <v>100</v>
      </c>
      <c r="H50" s="23">
        <v>80</v>
      </c>
      <c r="I50" s="23">
        <v>70</v>
      </c>
      <c r="J50" s="23">
        <v>80</v>
      </c>
      <c r="K50" s="23">
        <v>80</v>
      </c>
      <c r="L50" s="27">
        <f t="shared" si="1"/>
        <v>61.1111111111111</v>
      </c>
    </row>
    <row r="51" spans="1:12">
      <c r="A51" s="20" t="s">
        <v>112</v>
      </c>
      <c r="B51" s="20" t="s">
        <v>113</v>
      </c>
      <c r="C51" s="23">
        <v>70</v>
      </c>
      <c r="D51" s="23">
        <v>70</v>
      </c>
      <c r="E51" s="23">
        <v>60</v>
      </c>
      <c r="F51" s="23">
        <v>90</v>
      </c>
      <c r="G51" s="23">
        <v>80</v>
      </c>
      <c r="H51" s="23">
        <v>80</v>
      </c>
      <c r="I51" s="23">
        <v>80</v>
      </c>
      <c r="J51" s="23">
        <v>90</v>
      </c>
      <c r="K51" s="23">
        <v>70</v>
      </c>
      <c r="L51" s="27">
        <f t="shared" si="1"/>
        <v>76.6666666666667</v>
      </c>
    </row>
    <row r="52" spans="1:12">
      <c r="A52" s="20" t="s">
        <v>114</v>
      </c>
      <c r="B52" s="20" t="s">
        <v>115</v>
      </c>
      <c r="C52" s="23">
        <v>70</v>
      </c>
      <c r="D52" s="23">
        <v>80</v>
      </c>
      <c r="E52" s="23">
        <v>70</v>
      </c>
      <c r="F52" s="23">
        <v>90</v>
      </c>
      <c r="G52" s="23">
        <v>90</v>
      </c>
      <c r="H52" s="23">
        <v>80</v>
      </c>
      <c r="I52" s="23">
        <v>80</v>
      </c>
      <c r="J52" s="23">
        <v>80</v>
      </c>
      <c r="K52" s="23">
        <v>80</v>
      </c>
      <c r="L52" s="27">
        <f t="shared" si="1"/>
        <v>80</v>
      </c>
    </row>
  </sheetData>
  <mergeCells count="1">
    <mergeCell ref="A1:L1"/>
  </mergeCells>
  <printOptions horizontalCentered="1" verticalCentered="1"/>
  <pageMargins left="0.751388888888889" right="0.751388888888889" top="1" bottom="1" header="0.5" footer="0.5"/>
  <pageSetup paperSize="9" scale="74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M53"/>
  <sheetViews>
    <sheetView workbookViewId="0">
      <selection activeCell="F24" sqref="F24"/>
    </sheetView>
  </sheetViews>
  <sheetFormatPr defaultColWidth="8.88888888888889" defaultRowHeight="14.4"/>
  <cols>
    <col min="1" max="1" width="11.5555555555556" customWidth="1"/>
    <col min="3" max="3" width="7.66666666666667" customWidth="1"/>
    <col min="4" max="4" width="8" customWidth="1"/>
    <col min="5" max="5" width="7" customWidth="1"/>
    <col min="6" max="6" width="7.44444444444444" customWidth="1"/>
    <col min="7" max="7" width="8.88888888888889" customWidth="1"/>
    <col min="8" max="8" width="13.4444444444444" customWidth="1"/>
    <col min="10" max="10" width="7.66666666666667" customWidth="1"/>
    <col min="11" max="11" width="10" customWidth="1"/>
    <col min="12" max="12" width="9.11111111111111" customWidth="1"/>
    <col min="13" max="13" width="7.22222222222222" customWidth="1"/>
  </cols>
  <sheetData>
    <row r="2" spans="1:13">
      <c r="A2" s="11" t="s">
        <v>127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ht="51" customHeight="1" spans="1:13">
      <c r="A3" s="20" t="s">
        <v>1</v>
      </c>
      <c r="B3" s="20" t="s">
        <v>2</v>
      </c>
      <c r="C3" s="22" t="s">
        <v>128</v>
      </c>
      <c r="D3" s="22" t="s">
        <v>129</v>
      </c>
      <c r="E3" s="22" t="s">
        <v>130</v>
      </c>
      <c r="F3" s="22" t="s">
        <v>131</v>
      </c>
      <c r="G3" s="22" t="s">
        <v>132</v>
      </c>
      <c r="H3" s="22" t="s">
        <v>133</v>
      </c>
      <c r="I3" s="22" t="s">
        <v>134</v>
      </c>
      <c r="J3" s="22" t="s">
        <v>135</v>
      </c>
      <c r="K3" s="22" t="s">
        <v>136</v>
      </c>
      <c r="L3" s="22" t="s">
        <v>137</v>
      </c>
      <c r="M3" s="20" t="s">
        <v>126</v>
      </c>
    </row>
    <row r="4" spans="1:13">
      <c r="A4" s="20" t="s">
        <v>15</v>
      </c>
      <c r="B4" s="20" t="s">
        <v>16</v>
      </c>
      <c r="C4" s="23">
        <v>80</v>
      </c>
      <c r="D4" s="23">
        <v>80</v>
      </c>
      <c r="E4" s="23">
        <v>100</v>
      </c>
      <c r="F4" s="23">
        <v>80</v>
      </c>
      <c r="G4" s="23">
        <v>80</v>
      </c>
      <c r="H4" s="23">
        <v>80</v>
      </c>
      <c r="I4" s="23">
        <v>0</v>
      </c>
      <c r="J4" s="23">
        <v>100</v>
      </c>
      <c r="K4" s="23">
        <v>100</v>
      </c>
      <c r="L4" s="23">
        <v>0</v>
      </c>
      <c r="M4" s="20">
        <f>AVERAGE(C4:L4)</f>
        <v>70</v>
      </c>
    </row>
    <row r="5" spans="1:13">
      <c r="A5" s="20" t="s">
        <v>17</v>
      </c>
      <c r="B5" s="20" t="s">
        <v>18</v>
      </c>
      <c r="C5" s="23">
        <v>100</v>
      </c>
      <c r="D5" s="23">
        <v>100</v>
      </c>
      <c r="E5" s="23">
        <v>100</v>
      </c>
      <c r="F5" s="23">
        <v>90</v>
      </c>
      <c r="G5" s="23">
        <v>100</v>
      </c>
      <c r="H5" s="23">
        <v>100</v>
      </c>
      <c r="I5" s="23">
        <v>100</v>
      </c>
      <c r="J5" s="23">
        <v>100</v>
      </c>
      <c r="K5" s="23">
        <v>100</v>
      </c>
      <c r="L5" s="23">
        <v>100</v>
      </c>
      <c r="M5" s="20">
        <f t="shared" ref="M5:M36" si="0">AVERAGE(C5:L5)</f>
        <v>99</v>
      </c>
    </row>
    <row r="6" spans="1:13">
      <c r="A6" s="20" t="s">
        <v>19</v>
      </c>
      <c r="B6" s="20" t="s">
        <v>20</v>
      </c>
      <c r="C6" s="23">
        <v>100</v>
      </c>
      <c r="D6" s="23">
        <v>100</v>
      </c>
      <c r="E6" s="23">
        <v>100</v>
      </c>
      <c r="F6" s="23">
        <v>80</v>
      </c>
      <c r="G6" s="23">
        <v>100</v>
      </c>
      <c r="H6" s="23">
        <v>100</v>
      </c>
      <c r="I6" s="23">
        <v>80</v>
      </c>
      <c r="J6" s="23">
        <v>100</v>
      </c>
      <c r="K6" s="23">
        <v>100</v>
      </c>
      <c r="L6" s="23">
        <v>100</v>
      </c>
      <c r="M6" s="20">
        <f t="shared" si="0"/>
        <v>96</v>
      </c>
    </row>
    <row r="7" spans="1:13">
      <c r="A7" s="20" t="s">
        <v>21</v>
      </c>
      <c r="B7" s="20" t="s">
        <v>22</v>
      </c>
      <c r="C7" s="23">
        <v>100</v>
      </c>
      <c r="D7" s="23">
        <v>100</v>
      </c>
      <c r="E7" s="23">
        <v>100</v>
      </c>
      <c r="F7" s="23">
        <v>100</v>
      </c>
      <c r="G7" s="23">
        <v>100</v>
      </c>
      <c r="H7" s="23">
        <v>100</v>
      </c>
      <c r="I7" s="23">
        <v>100</v>
      </c>
      <c r="J7" s="23">
        <v>100</v>
      </c>
      <c r="K7" s="23">
        <v>100</v>
      </c>
      <c r="L7" s="23">
        <v>100</v>
      </c>
      <c r="M7" s="20">
        <f t="shared" si="0"/>
        <v>100</v>
      </c>
    </row>
    <row r="8" spans="1:13">
      <c r="A8" s="20" t="s">
        <v>23</v>
      </c>
      <c r="B8" s="20" t="s">
        <v>24</v>
      </c>
      <c r="C8" s="23">
        <v>80</v>
      </c>
      <c r="D8" s="23">
        <v>80</v>
      </c>
      <c r="E8" s="23">
        <v>100</v>
      </c>
      <c r="F8" s="23">
        <v>90</v>
      </c>
      <c r="G8" s="23">
        <v>100</v>
      </c>
      <c r="H8" s="23">
        <v>100</v>
      </c>
      <c r="I8" s="23">
        <v>100</v>
      </c>
      <c r="J8" s="23">
        <v>0</v>
      </c>
      <c r="K8" s="23">
        <v>100</v>
      </c>
      <c r="L8" s="23">
        <v>100</v>
      </c>
      <c r="M8" s="20">
        <f t="shared" si="0"/>
        <v>85</v>
      </c>
    </row>
    <row r="9" spans="1:13">
      <c r="A9" s="20" t="s">
        <v>25</v>
      </c>
      <c r="B9" s="20" t="s">
        <v>26</v>
      </c>
      <c r="C9" s="23">
        <v>100</v>
      </c>
      <c r="D9" s="23">
        <v>100</v>
      </c>
      <c r="E9" s="23">
        <v>100</v>
      </c>
      <c r="F9" s="23">
        <v>90</v>
      </c>
      <c r="G9" s="23">
        <v>100</v>
      </c>
      <c r="H9" s="23">
        <v>100</v>
      </c>
      <c r="I9" s="23">
        <v>100</v>
      </c>
      <c r="J9" s="23">
        <v>100</v>
      </c>
      <c r="K9" s="23">
        <v>100</v>
      </c>
      <c r="L9" s="23">
        <v>100</v>
      </c>
      <c r="M9" s="20">
        <f t="shared" si="0"/>
        <v>99</v>
      </c>
    </row>
    <row r="10" spans="1:13">
      <c r="A10" s="20" t="s">
        <v>27</v>
      </c>
      <c r="B10" s="20" t="s">
        <v>28</v>
      </c>
      <c r="C10" s="23">
        <v>100</v>
      </c>
      <c r="D10" s="23">
        <v>80</v>
      </c>
      <c r="E10" s="23">
        <v>100</v>
      </c>
      <c r="F10" s="23">
        <v>80</v>
      </c>
      <c r="G10" s="23">
        <v>100</v>
      </c>
      <c r="H10" s="23">
        <v>100</v>
      </c>
      <c r="I10" s="23">
        <v>0</v>
      </c>
      <c r="J10" s="23">
        <v>100</v>
      </c>
      <c r="K10" s="23">
        <v>100</v>
      </c>
      <c r="L10" s="23">
        <v>100</v>
      </c>
      <c r="M10" s="20">
        <f t="shared" si="0"/>
        <v>86</v>
      </c>
    </row>
    <row r="11" spans="1:13">
      <c r="A11" s="20" t="s">
        <v>29</v>
      </c>
      <c r="B11" s="20" t="s">
        <v>30</v>
      </c>
      <c r="C11" s="23">
        <v>100</v>
      </c>
      <c r="D11" s="23">
        <v>80</v>
      </c>
      <c r="E11" s="23">
        <v>100</v>
      </c>
      <c r="F11" s="23">
        <v>80</v>
      </c>
      <c r="G11" s="23">
        <v>100</v>
      </c>
      <c r="H11" s="23">
        <v>100</v>
      </c>
      <c r="I11" s="23">
        <v>90</v>
      </c>
      <c r="J11" s="23">
        <v>100</v>
      </c>
      <c r="K11" s="23">
        <v>100</v>
      </c>
      <c r="L11" s="23">
        <v>90</v>
      </c>
      <c r="M11" s="20">
        <f t="shared" si="0"/>
        <v>94</v>
      </c>
    </row>
    <row r="12" spans="1:13">
      <c r="A12" s="20" t="s">
        <v>31</v>
      </c>
      <c r="B12" s="20" t="s">
        <v>32</v>
      </c>
      <c r="C12" s="23">
        <v>80</v>
      </c>
      <c r="D12" s="23">
        <v>80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0">
        <f t="shared" si="0"/>
        <v>16</v>
      </c>
    </row>
    <row r="13" spans="1:13">
      <c r="A13" s="20" t="s">
        <v>33</v>
      </c>
      <c r="B13" s="20" t="s">
        <v>34</v>
      </c>
      <c r="C13" s="23">
        <v>100</v>
      </c>
      <c r="D13" s="23">
        <v>100</v>
      </c>
      <c r="E13" s="23">
        <v>100</v>
      </c>
      <c r="F13" s="23">
        <v>80</v>
      </c>
      <c r="G13" s="23">
        <v>100</v>
      </c>
      <c r="H13" s="23">
        <v>100</v>
      </c>
      <c r="I13" s="23">
        <v>90</v>
      </c>
      <c r="J13" s="23">
        <v>100</v>
      </c>
      <c r="K13" s="23">
        <v>100</v>
      </c>
      <c r="L13" s="23">
        <v>100</v>
      </c>
      <c r="M13" s="20">
        <f t="shared" si="0"/>
        <v>97</v>
      </c>
    </row>
    <row r="14" spans="1:13">
      <c r="A14" s="20" t="s">
        <v>35</v>
      </c>
      <c r="B14" s="20" t="s">
        <v>36</v>
      </c>
      <c r="C14" s="23">
        <v>100</v>
      </c>
      <c r="D14" s="23">
        <v>80</v>
      </c>
      <c r="E14" s="23">
        <v>100</v>
      </c>
      <c r="F14" s="23">
        <v>100</v>
      </c>
      <c r="G14" s="23">
        <v>100</v>
      </c>
      <c r="H14" s="23">
        <v>100</v>
      </c>
      <c r="I14" s="23">
        <v>80</v>
      </c>
      <c r="J14" s="23">
        <v>80</v>
      </c>
      <c r="K14" s="23">
        <v>100</v>
      </c>
      <c r="L14" s="23">
        <v>100</v>
      </c>
      <c r="M14" s="20">
        <f t="shared" si="0"/>
        <v>94</v>
      </c>
    </row>
    <row r="15" spans="1:13">
      <c r="A15" s="20" t="s">
        <v>37</v>
      </c>
      <c r="B15" s="20" t="s">
        <v>38</v>
      </c>
      <c r="C15" s="23">
        <v>100</v>
      </c>
      <c r="D15" s="23">
        <v>100</v>
      </c>
      <c r="E15" s="23">
        <v>100</v>
      </c>
      <c r="F15" s="23">
        <v>100</v>
      </c>
      <c r="G15" s="23">
        <v>100</v>
      </c>
      <c r="H15" s="23">
        <v>100</v>
      </c>
      <c r="I15" s="23">
        <v>100</v>
      </c>
      <c r="J15" s="23">
        <v>100</v>
      </c>
      <c r="K15" s="23">
        <v>100</v>
      </c>
      <c r="L15" s="23">
        <v>100</v>
      </c>
      <c r="M15" s="20">
        <f t="shared" si="0"/>
        <v>100</v>
      </c>
    </row>
    <row r="16" spans="1:13">
      <c r="A16" s="20" t="s">
        <v>39</v>
      </c>
      <c r="B16" s="20" t="s">
        <v>40</v>
      </c>
      <c r="C16" s="23">
        <v>100</v>
      </c>
      <c r="D16" s="23">
        <v>80</v>
      </c>
      <c r="E16" s="23">
        <v>100</v>
      </c>
      <c r="F16" s="23">
        <v>80</v>
      </c>
      <c r="G16" s="23">
        <v>100</v>
      </c>
      <c r="H16" s="23">
        <v>100</v>
      </c>
      <c r="I16" s="23">
        <v>90</v>
      </c>
      <c r="J16" s="23">
        <v>80</v>
      </c>
      <c r="K16" s="23">
        <v>100</v>
      </c>
      <c r="L16" s="23">
        <v>80</v>
      </c>
      <c r="M16" s="20">
        <f t="shared" si="0"/>
        <v>91</v>
      </c>
    </row>
    <row r="17" spans="1:13">
      <c r="A17" s="20" t="s">
        <v>41</v>
      </c>
      <c r="B17" s="20" t="s">
        <v>42</v>
      </c>
      <c r="C17" s="23">
        <v>100</v>
      </c>
      <c r="D17" s="23">
        <v>100</v>
      </c>
      <c r="E17" s="23">
        <v>100</v>
      </c>
      <c r="F17" s="23">
        <v>80</v>
      </c>
      <c r="G17" s="23">
        <v>80</v>
      </c>
      <c r="H17" s="23">
        <v>80</v>
      </c>
      <c r="I17" s="23">
        <v>80</v>
      </c>
      <c r="J17" s="23">
        <v>100</v>
      </c>
      <c r="K17" s="23">
        <v>100</v>
      </c>
      <c r="L17" s="23">
        <v>100</v>
      </c>
      <c r="M17" s="20">
        <f t="shared" si="0"/>
        <v>92</v>
      </c>
    </row>
    <row r="18" spans="1:13">
      <c r="A18" s="20" t="s">
        <v>43</v>
      </c>
      <c r="B18" s="20" t="s">
        <v>44</v>
      </c>
      <c r="C18" s="23">
        <v>100</v>
      </c>
      <c r="D18" s="23">
        <v>100</v>
      </c>
      <c r="E18" s="23">
        <v>100</v>
      </c>
      <c r="F18" s="23">
        <v>90</v>
      </c>
      <c r="G18" s="23">
        <v>100</v>
      </c>
      <c r="H18" s="23">
        <v>100</v>
      </c>
      <c r="I18" s="23">
        <v>100</v>
      </c>
      <c r="J18" s="23">
        <v>100</v>
      </c>
      <c r="K18" s="23">
        <v>100</v>
      </c>
      <c r="L18" s="23">
        <v>100</v>
      </c>
      <c r="M18" s="20">
        <f t="shared" si="0"/>
        <v>99</v>
      </c>
    </row>
    <row r="19" spans="1:13">
      <c r="A19" s="20" t="s">
        <v>45</v>
      </c>
      <c r="B19" s="20" t="s">
        <v>46</v>
      </c>
      <c r="C19" s="23">
        <v>100</v>
      </c>
      <c r="D19" s="23">
        <v>100</v>
      </c>
      <c r="E19" s="23">
        <v>100</v>
      </c>
      <c r="F19" s="23">
        <v>90</v>
      </c>
      <c r="G19" s="23">
        <v>90</v>
      </c>
      <c r="H19" s="23">
        <v>90</v>
      </c>
      <c r="I19" s="23">
        <v>90</v>
      </c>
      <c r="J19" s="23">
        <v>100</v>
      </c>
      <c r="K19" s="23">
        <v>100</v>
      </c>
      <c r="L19" s="23">
        <v>80</v>
      </c>
      <c r="M19" s="20">
        <f t="shared" si="0"/>
        <v>94</v>
      </c>
    </row>
    <row r="20" spans="1:13">
      <c r="A20" s="20" t="s">
        <v>47</v>
      </c>
      <c r="B20" s="20" t="s">
        <v>48</v>
      </c>
      <c r="C20" s="23">
        <v>100</v>
      </c>
      <c r="D20" s="23">
        <v>100</v>
      </c>
      <c r="E20" s="23">
        <v>100</v>
      </c>
      <c r="F20" s="23">
        <v>90</v>
      </c>
      <c r="G20" s="23">
        <v>100</v>
      </c>
      <c r="H20" s="23">
        <v>100</v>
      </c>
      <c r="I20" s="23">
        <v>80</v>
      </c>
      <c r="J20" s="23">
        <v>100</v>
      </c>
      <c r="K20" s="23">
        <v>100</v>
      </c>
      <c r="L20" s="23">
        <v>80</v>
      </c>
      <c r="M20" s="20">
        <f t="shared" si="0"/>
        <v>95</v>
      </c>
    </row>
    <row r="21" spans="1:13">
      <c r="A21" s="20" t="s">
        <v>49</v>
      </c>
      <c r="B21" s="20" t="s">
        <v>50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0">
        <f t="shared" si="0"/>
        <v>0</v>
      </c>
    </row>
    <row r="22" spans="1:13">
      <c r="A22" s="20" t="s">
        <v>51</v>
      </c>
      <c r="B22" s="20" t="s">
        <v>52</v>
      </c>
      <c r="C22" s="23">
        <v>80</v>
      </c>
      <c r="D22" s="23">
        <v>100</v>
      </c>
      <c r="E22" s="23">
        <v>60</v>
      </c>
      <c r="F22" s="23">
        <v>80</v>
      </c>
      <c r="G22" s="23">
        <v>100</v>
      </c>
      <c r="H22" s="23">
        <v>100</v>
      </c>
      <c r="I22" s="23">
        <v>100</v>
      </c>
      <c r="J22" s="23">
        <v>80</v>
      </c>
      <c r="K22" s="23">
        <v>100</v>
      </c>
      <c r="L22" s="23">
        <v>100</v>
      </c>
      <c r="M22" s="20">
        <f t="shared" si="0"/>
        <v>90</v>
      </c>
    </row>
    <row r="23" spans="1:13">
      <c r="A23" s="20" t="s">
        <v>53</v>
      </c>
      <c r="B23" s="20" t="s">
        <v>54</v>
      </c>
      <c r="C23" s="23">
        <v>100</v>
      </c>
      <c r="D23" s="23">
        <v>80</v>
      </c>
      <c r="E23" s="23">
        <v>100</v>
      </c>
      <c r="F23" s="23">
        <v>80</v>
      </c>
      <c r="G23" s="23">
        <v>100</v>
      </c>
      <c r="H23" s="23">
        <v>100</v>
      </c>
      <c r="I23" s="23">
        <v>80</v>
      </c>
      <c r="J23" s="23">
        <v>100</v>
      </c>
      <c r="K23" s="23">
        <v>100</v>
      </c>
      <c r="L23" s="23">
        <v>100</v>
      </c>
      <c r="M23" s="20">
        <f t="shared" si="0"/>
        <v>94</v>
      </c>
    </row>
    <row r="24" spans="1:13">
      <c r="A24" s="20" t="s">
        <v>55</v>
      </c>
      <c r="B24" s="20" t="s">
        <v>56</v>
      </c>
      <c r="C24" s="23">
        <v>100</v>
      </c>
      <c r="D24" s="23">
        <v>100</v>
      </c>
      <c r="E24" s="23">
        <v>100</v>
      </c>
      <c r="F24" s="23">
        <v>60</v>
      </c>
      <c r="G24" s="23">
        <v>100</v>
      </c>
      <c r="H24" s="23">
        <v>100</v>
      </c>
      <c r="I24" s="23">
        <v>80</v>
      </c>
      <c r="J24" s="23">
        <v>80</v>
      </c>
      <c r="K24" s="23">
        <v>90</v>
      </c>
      <c r="L24" s="23">
        <v>90</v>
      </c>
      <c r="M24" s="20">
        <f t="shared" si="0"/>
        <v>90</v>
      </c>
    </row>
    <row r="25" spans="1:13">
      <c r="A25" s="20" t="s">
        <v>58</v>
      </c>
      <c r="B25" s="20" t="s">
        <v>59</v>
      </c>
      <c r="C25" s="23">
        <v>100</v>
      </c>
      <c r="D25" s="23">
        <v>80</v>
      </c>
      <c r="E25" s="23">
        <v>100</v>
      </c>
      <c r="F25" s="23">
        <v>80</v>
      </c>
      <c r="G25" s="23">
        <v>100</v>
      </c>
      <c r="H25" s="23">
        <v>100</v>
      </c>
      <c r="I25" s="23">
        <v>90</v>
      </c>
      <c r="J25" s="23">
        <v>100</v>
      </c>
      <c r="K25" s="23">
        <v>100</v>
      </c>
      <c r="L25" s="23">
        <v>100</v>
      </c>
      <c r="M25" s="20">
        <f t="shared" si="0"/>
        <v>95</v>
      </c>
    </row>
    <row r="26" spans="1:13">
      <c r="A26" s="20" t="s">
        <v>60</v>
      </c>
      <c r="B26" s="20" t="s">
        <v>61</v>
      </c>
      <c r="C26" s="23">
        <v>100</v>
      </c>
      <c r="D26" s="23">
        <v>80</v>
      </c>
      <c r="E26" s="23">
        <v>100</v>
      </c>
      <c r="F26" s="23">
        <v>80</v>
      </c>
      <c r="G26" s="23">
        <v>80</v>
      </c>
      <c r="H26" s="23">
        <v>80</v>
      </c>
      <c r="I26" s="23">
        <v>100</v>
      </c>
      <c r="J26" s="23">
        <v>100</v>
      </c>
      <c r="K26" s="23">
        <v>100</v>
      </c>
      <c r="L26" s="23">
        <v>100</v>
      </c>
      <c r="M26" s="20">
        <f t="shared" si="0"/>
        <v>92</v>
      </c>
    </row>
    <row r="27" spans="1:13">
      <c r="A27" s="20" t="s">
        <v>62</v>
      </c>
      <c r="B27" s="20" t="s">
        <v>63</v>
      </c>
      <c r="C27" s="23">
        <v>100</v>
      </c>
      <c r="D27" s="23">
        <v>100</v>
      </c>
      <c r="E27" s="23">
        <v>100</v>
      </c>
      <c r="F27" s="23">
        <v>90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0">
        <f t="shared" si="0"/>
        <v>99</v>
      </c>
    </row>
    <row r="28" spans="1:13">
      <c r="A28" s="20" t="s">
        <v>64</v>
      </c>
      <c r="B28" s="20" t="s">
        <v>65</v>
      </c>
      <c r="C28" s="23">
        <v>100</v>
      </c>
      <c r="D28" s="23">
        <v>80</v>
      </c>
      <c r="E28" s="23">
        <v>100</v>
      </c>
      <c r="F28" s="23">
        <v>90</v>
      </c>
      <c r="G28" s="23">
        <v>100</v>
      </c>
      <c r="H28" s="23">
        <v>100</v>
      </c>
      <c r="I28" s="23">
        <v>90</v>
      </c>
      <c r="J28" s="23">
        <v>80</v>
      </c>
      <c r="K28" s="23">
        <v>100</v>
      </c>
      <c r="L28" s="23">
        <v>100</v>
      </c>
      <c r="M28" s="20">
        <f t="shared" si="0"/>
        <v>94</v>
      </c>
    </row>
    <row r="29" spans="1:13">
      <c r="A29" s="20" t="s">
        <v>66</v>
      </c>
      <c r="B29" s="20" t="s">
        <v>67</v>
      </c>
      <c r="C29" s="23">
        <v>100</v>
      </c>
      <c r="D29" s="23">
        <v>100</v>
      </c>
      <c r="E29" s="23">
        <v>100</v>
      </c>
      <c r="F29" s="23">
        <v>90</v>
      </c>
      <c r="G29" s="23">
        <v>100</v>
      </c>
      <c r="H29" s="23">
        <v>100</v>
      </c>
      <c r="I29" s="23">
        <v>80</v>
      </c>
      <c r="J29" s="23">
        <v>100</v>
      </c>
      <c r="K29" s="23">
        <v>100</v>
      </c>
      <c r="L29" s="23">
        <v>100</v>
      </c>
      <c r="M29" s="20">
        <f t="shared" si="0"/>
        <v>97</v>
      </c>
    </row>
    <row r="30" spans="1:13">
      <c r="A30" s="20" t="s">
        <v>68</v>
      </c>
      <c r="B30" s="20" t="s">
        <v>69</v>
      </c>
      <c r="C30" s="23">
        <v>100</v>
      </c>
      <c r="D30" s="23">
        <v>100</v>
      </c>
      <c r="E30" s="23">
        <v>100</v>
      </c>
      <c r="F30" s="23">
        <v>90</v>
      </c>
      <c r="G30" s="23">
        <v>100</v>
      </c>
      <c r="H30" s="23">
        <v>100</v>
      </c>
      <c r="I30" s="23">
        <v>100</v>
      </c>
      <c r="J30" s="23">
        <v>100</v>
      </c>
      <c r="K30" s="23">
        <v>100</v>
      </c>
      <c r="L30" s="23">
        <v>100</v>
      </c>
      <c r="M30" s="20">
        <f t="shared" si="0"/>
        <v>99</v>
      </c>
    </row>
    <row r="31" spans="1:13">
      <c r="A31" s="20" t="s">
        <v>70</v>
      </c>
      <c r="B31" s="20" t="s">
        <v>71</v>
      </c>
      <c r="C31" s="23">
        <v>100</v>
      </c>
      <c r="D31" s="23">
        <v>80</v>
      </c>
      <c r="E31" s="23">
        <v>100</v>
      </c>
      <c r="F31" s="23">
        <v>80</v>
      </c>
      <c r="G31" s="23">
        <v>100</v>
      </c>
      <c r="H31" s="23">
        <v>100</v>
      </c>
      <c r="I31" s="23">
        <v>90</v>
      </c>
      <c r="J31" s="23">
        <v>80</v>
      </c>
      <c r="K31" s="23">
        <v>90</v>
      </c>
      <c r="L31" s="23">
        <v>90</v>
      </c>
      <c r="M31" s="20">
        <f t="shared" si="0"/>
        <v>91</v>
      </c>
    </row>
    <row r="32" spans="1:13">
      <c r="A32" s="20" t="s">
        <v>72</v>
      </c>
      <c r="B32" s="20" t="s">
        <v>73</v>
      </c>
      <c r="C32" s="23">
        <v>100</v>
      </c>
      <c r="D32" s="23">
        <v>100</v>
      </c>
      <c r="E32" s="23">
        <v>100</v>
      </c>
      <c r="F32" s="23">
        <v>90</v>
      </c>
      <c r="G32" s="23">
        <v>100</v>
      </c>
      <c r="H32" s="23">
        <v>100</v>
      </c>
      <c r="I32" s="23">
        <v>90</v>
      </c>
      <c r="J32" s="23">
        <v>100</v>
      </c>
      <c r="K32" s="23">
        <v>100</v>
      </c>
      <c r="L32" s="23">
        <v>80</v>
      </c>
      <c r="M32" s="20">
        <f t="shared" si="0"/>
        <v>96</v>
      </c>
    </row>
    <row r="33" spans="1:13">
      <c r="A33" s="20" t="s">
        <v>74</v>
      </c>
      <c r="B33" s="20" t="s">
        <v>75</v>
      </c>
      <c r="C33" s="23">
        <v>100</v>
      </c>
      <c r="D33" s="23">
        <v>100</v>
      </c>
      <c r="E33" s="23">
        <v>100</v>
      </c>
      <c r="F33" s="23">
        <v>100</v>
      </c>
      <c r="G33" s="23">
        <v>100</v>
      </c>
      <c r="H33" s="23">
        <v>100</v>
      </c>
      <c r="I33" s="23">
        <v>80</v>
      </c>
      <c r="J33" s="23">
        <v>100</v>
      </c>
      <c r="K33" s="23">
        <v>100</v>
      </c>
      <c r="L33" s="23">
        <v>0</v>
      </c>
      <c r="M33" s="20">
        <f t="shared" si="0"/>
        <v>88</v>
      </c>
    </row>
    <row r="34" spans="1:13">
      <c r="A34" s="20" t="s">
        <v>76</v>
      </c>
      <c r="B34" s="20" t="s">
        <v>77</v>
      </c>
      <c r="C34" s="23">
        <v>100</v>
      </c>
      <c r="D34" s="23">
        <v>100</v>
      </c>
      <c r="E34" s="23">
        <v>100</v>
      </c>
      <c r="F34" s="23">
        <v>80</v>
      </c>
      <c r="G34" s="23">
        <v>100</v>
      </c>
      <c r="H34" s="23">
        <v>100</v>
      </c>
      <c r="I34" s="23">
        <v>90</v>
      </c>
      <c r="J34" s="23">
        <v>100</v>
      </c>
      <c r="K34" s="23">
        <v>100</v>
      </c>
      <c r="L34" s="23">
        <v>100</v>
      </c>
      <c r="M34" s="20">
        <f t="shared" si="0"/>
        <v>97</v>
      </c>
    </row>
    <row r="35" spans="1:13">
      <c r="A35" s="20" t="s">
        <v>78</v>
      </c>
      <c r="B35" s="20" t="s">
        <v>79</v>
      </c>
      <c r="C35" s="23">
        <v>100</v>
      </c>
      <c r="D35" s="23">
        <v>100</v>
      </c>
      <c r="E35" s="23">
        <v>100</v>
      </c>
      <c r="F35" s="23">
        <v>100</v>
      </c>
      <c r="G35" s="23">
        <v>100</v>
      </c>
      <c r="H35" s="23">
        <v>100</v>
      </c>
      <c r="I35" s="23">
        <v>80</v>
      </c>
      <c r="J35" s="23">
        <v>100</v>
      </c>
      <c r="K35" s="23">
        <v>100</v>
      </c>
      <c r="L35" s="23">
        <v>100</v>
      </c>
      <c r="M35" s="20">
        <f t="shared" si="0"/>
        <v>98</v>
      </c>
    </row>
    <row r="36" spans="1:13">
      <c r="A36" s="20" t="s">
        <v>80</v>
      </c>
      <c r="B36" s="20" t="s">
        <v>81</v>
      </c>
      <c r="C36" s="23">
        <v>100</v>
      </c>
      <c r="D36" s="23">
        <v>100</v>
      </c>
      <c r="E36" s="23">
        <v>100</v>
      </c>
      <c r="F36" s="23">
        <v>90</v>
      </c>
      <c r="G36" s="23">
        <v>100</v>
      </c>
      <c r="H36" s="23">
        <v>100</v>
      </c>
      <c r="I36" s="23">
        <v>90</v>
      </c>
      <c r="J36" s="23">
        <v>100</v>
      </c>
      <c r="K36" s="23">
        <v>100</v>
      </c>
      <c r="L36" s="23">
        <v>80</v>
      </c>
      <c r="M36" s="20">
        <f t="shared" si="0"/>
        <v>96</v>
      </c>
    </row>
    <row r="37" spans="1:13">
      <c r="A37" s="20" t="s">
        <v>82</v>
      </c>
      <c r="B37" s="20" t="s">
        <v>83</v>
      </c>
      <c r="C37" s="23">
        <v>100</v>
      </c>
      <c r="D37" s="23">
        <v>100</v>
      </c>
      <c r="E37" s="23">
        <v>100</v>
      </c>
      <c r="F37" s="23">
        <v>0</v>
      </c>
      <c r="G37" s="23">
        <v>100</v>
      </c>
      <c r="H37" s="23">
        <v>100</v>
      </c>
      <c r="I37" s="23">
        <v>100</v>
      </c>
      <c r="J37" s="23">
        <v>100</v>
      </c>
      <c r="K37" s="23">
        <v>100</v>
      </c>
      <c r="L37" s="23">
        <v>100</v>
      </c>
      <c r="M37" s="20">
        <f t="shared" ref="M37:M53" si="1">AVERAGE(C37:L37)</f>
        <v>90</v>
      </c>
    </row>
    <row r="38" spans="1:13">
      <c r="A38" s="20" t="s">
        <v>84</v>
      </c>
      <c r="B38" s="20" t="s">
        <v>85</v>
      </c>
      <c r="C38" s="23">
        <v>60</v>
      </c>
      <c r="D38" s="23">
        <v>100</v>
      </c>
      <c r="E38" s="23">
        <v>100</v>
      </c>
      <c r="F38" s="23">
        <v>90</v>
      </c>
      <c r="G38" s="23">
        <v>100</v>
      </c>
      <c r="H38" s="23">
        <v>100</v>
      </c>
      <c r="I38" s="23">
        <v>100</v>
      </c>
      <c r="J38" s="23">
        <v>100</v>
      </c>
      <c r="K38" s="23">
        <v>100</v>
      </c>
      <c r="L38" s="23">
        <v>100</v>
      </c>
      <c r="M38" s="20">
        <f t="shared" si="1"/>
        <v>95</v>
      </c>
    </row>
    <row r="39" spans="1:13">
      <c r="A39" s="20" t="s">
        <v>86</v>
      </c>
      <c r="B39" s="20" t="s">
        <v>87</v>
      </c>
      <c r="C39" s="23">
        <v>100</v>
      </c>
      <c r="D39" s="23">
        <v>100</v>
      </c>
      <c r="E39" s="23">
        <v>100</v>
      </c>
      <c r="F39" s="23">
        <v>90</v>
      </c>
      <c r="G39" s="23">
        <v>100</v>
      </c>
      <c r="H39" s="23">
        <v>100</v>
      </c>
      <c r="I39" s="23">
        <v>80</v>
      </c>
      <c r="J39" s="23">
        <v>80</v>
      </c>
      <c r="K39" s="23">
        <v>80</v>
      </c>
      <c r="L39" s="23">
        <v>90</v>
      </c>
      <c r="M39" s="20">
        <f t="shared" si="1"/>
        <v>92</v>
      </c>
    </row>
    <row r="40" spans="1:13">
      <c r="A40" s="20" t="s">
        <v>88</v>
      </c>
      <c r="B40" s="20" t="s">
        <v>89</v>
      </c>
      <c r="C40" s="23">
        <v>100</v>
      </c>
      <c r="D40" s="23">
        <v>100</v>
      </c>
      <c r="E40" s="23">
        <v>100</v>
      </c>
      <c r="F40" s="23">
        <v>80</v>
      </c>
      <c r="G40" s="23">
        <v>80</v>
      </c>
      <c r="H40" s="23">
        <v>80</v>
      </c>
      <c r="I40" s="23">
        <v>90</v>
      </c>
      <c r="J40" s="23">
        <v>100</v>
      </c>
      <c r="K40" s="23">
        <v>100</v>
      </c>
      <c r="L40" s="23">
        <v>80</v>
      </c>
      <c r="M40" s="20">
        <f t="shared" si="1"/>
        <v>91</v>
      </c>
    </row>
    <row r="41" spans="1:13">
      <c r="A41" s="20" t="s">
        <v>90</v>
      </c>
      <c r="B41" s="20" t="s">
        <v>91</v>
      </c>
      <c r="C41" s="23">
        <v>100</v>
      </c>
      <c r="D41" s="23">
        <v>100</v>
      </c>
      <c r="E41" s="23">
        <v>100</v>
      </c>
      <c r="F41" s="23">
        <v>80</v>
      </c>
      <c r="G41" s="23">
        <v>100</v>
      </c>
      <c r="H41" s="23">
        <v>100</v>
      </c>
      <c r="I41" s="23">
        <v>90</v>
      </c>
      <c r="J41" s="23">
        <v>90</v>
      </c>
      <c r="K41" s="23">
        <v>100</v>
      </c>
      <c r="L41" s="23">
        <v>80</v>
      </c>
      <c r="M41" s="20">
        <f t="shared" si="1"/>
        <v>94</v>
      </c>
    </row>
    <row r="42" spans="1:13">
      <c r="A42" s="20" t="s">
        <v>92</v>
      </c>
      <c r="B42" s="20" t="s">
        <v>93</v>
      </c>
      <c r="C42" s="23">
        <v>100</v>
      </c>
      <c r="D42" s="23">
        <v>100</v>
      </c>
      <c r="E42" s="23">
        <v>100</v>
      </c>
      <c r="F42" s="23">
        <v>90</v>
      </c>
      <c r="G42" s="23">
        <v>100</v>
      </c>
      <c r="H42" s="23">
        <v>100</v>
      </c>
      <c r="I42" s="23">
        <v>100</v>
      </c>
      <c r="J42" s="23">
        <v>90</v>
      </c>
      <c r="K42" s="23">
        <v>100</v>
      </c>
      <c r="L42" s="23">
        <v>100</v>
      </c>
      <c r="M42" s="20">
        <f t="shared" si="1"/>
        <v>98</v>
      </c>
    </row>
    <row r="43" spans="1:13">
      <c r="A43" s="20" t="s">
        <v>94</v>
      </c>
      <c r="B43" s="20" t="s">
        <v>95</v>
      </c>
      <c r="C43" s="23">
        <v>100</v>
      </c>
      <c r="D43" s="23">
        <v>100</v>
      </c>
      <c r="E43" s="23">
        <v>100</v>
      </c>
      <c r="F43" s="23">
        <v>90</v>
      </c>
      <c r="G43" s="23">
        <v>100</v>
      </c>
      <c r="H43" s="23">
        <v>100</v>
      </c>
      <c r="I43" s="23">
        <v>100</v>
      </c>
      <c r="J43" s="23">
        <v>100</v>
      </c>
      <c r="K43" s="23">
        <v>100</v>
      </c>
      <c r="L43" s="23">
        <v>80</v>
      </c>
      <c r="M43" s="20">
        <f t="shared" si="1"/>
        <v>97</v>
      </c>
    </row>
    <row r="44" spans="1:13">
      <c r="A44" s="20" t="s">
        <v>96</v>
      </c>
      <c r="B44" s="20" t="s">
        <v>97</v>
      </c>
      <c r="C44" s="23">
        <v>100</v>
      </c>
      <c r="D44" s="23">
        <v>100</v>
      </c>
      <c r="E44" s="23">
        <v>100</v>
      </c>
      <c r="F44" s="23">
        <v>0</v>
      </c>
      <c r="G44" s="23">
        <v>80</v>
      </c>
      <c r="H44" s="23">
        <v>80</v>
      </c>
      <c r="I44" s="23">
        <v>80</v>
      </c>
      <c r="J44" s="23">
        <v>0</v>
      </c>
      <c r="K44" s="23">
        <v>100</v>
      </c>
      <c r="L44" s="23">
        <v>80</v>
      </c>
      <c r="M44" s="20">
        <f t="shared" si="1"/>
        <v>72</v>
      </c>
    </row>
    <row r="45" spans="1:13">
      <c r="A45" s="20" t="s">
        <v>98</v>
      </c>
      <c r="B45" s="20" t="s">
        <v>99</v>
      </c>
      <c r="C45" s="23">
        <v>100</v>
      </c>
      <c r="D45" s="23">
        <v>100</v>
      </c>
      <c r="E45" s="23">
        <v>100</v>
      </c>
      <c r="F45" s="23">
        <v>90</v>
      </c>
      <c r="G45" s="23">
        <v>100</v>
      </c>
      <c r="H45" s="23">
        <v>100</v>
      </c>
      <c r="I45" s="23">
        <v>100</v>
      </c>
      <c r="J45" s="23">
        <v>100</v>
      </c>
      <c r="K45" s="23">
        <v>100</v>
      </c>
      <c r="L45" s="23">
        <v>100</v>
      </c>
      <c r="M45" s="20">
        <f t="shared" si="1"/>
        <v>99</v>
      </c>
    </row>
    <row r="46" spans="1:13">
      <c r="A46" s="20" t="s">
        <v>100</v>
      </c>
      <c r="B46" s="20" t="s">
        <v>101</v>
      </c>
      <c r="C46" s="23">
        <v>100</v>
      </c>
      <c r="D46" s="23">
        <v>100</v>
      </c>
      <c r="E46" s="23">
        <v>100</v>
      </c>
      <c r="F46" s="23">
        <v>80</v>
      </c>
      <c r="G46" s="23">
        <v>80</v>
      </c>
      <c r="H46" s="23">
        <v>80</v>
      </c>
      <c r="I46" s="23">
        <v>90</v>
      </c>
      <c r="J46" s="23">
        <v>100</v>
      </c>
      <c r="K46" s="23">
        <v>100</v>
      </c>
      <c r="L46" s="23">
        <v>80</v>
      </c>
      <c r="M46" s="20">
        <f t="shared" si="1"/>
        <v>91</v>
      </c>
    </row>
    <row r="47" spans="1:13">
      <c r="A47" s="20" t="s">
        <v>102</v>
      </c>
      <c r="B47" s="20" t="s">
        <v>103</v>
      </c>
      <c r="C47" s="23">
        <v>100</v>
      </c>
      <c r="D47" s="23">
        <v>80</v>
      </c>
      <c r="E47" s="23">
        <v>100</v>
      </c>
      <c r="F47" s="23">
        <v>0</v>
      </c>
      <c r="G47" s="23">
        <v>80</v>
      </c>
      <c r="H47" s="23">
        <v>80</v>
      </c>
      <c r="I47" s="23">
        <v>80</v>
      </c>
      <c r="J47" s="23">
        <v>100</v>
      </c>
      <c r="K47" s="23">
        <v>100</v>
      </c>
      <c r="L47" s="23">
        <v>100</v>
      </c>
      <c r="M47" s="20">
        <f t="shared" si="1"/>
        <v>82</v>
      </c>
    </row>
    <row r="48" spans="1:13">
      <c r="A48" s="20" t="s">
        <v>104</v>
      </c>
      <c r="B48" s="20" t="s">
        <v>105</v>
      </c>
      <c r="C48" s="23">
        <v>100</v>
      </c>
      <c r="D48" s="23">
        <v>80</v>
      </c>
      <c r="E48" s="23">
        <v>100</v>
      </c>
      <c r="F48" s="23">
        <v>80</v>
      </c>
      <c r="G48" s="23">
        <v>100</v>
      </c>
      <c r="H48" s="23">
        <v>100</v>
      </c>
      <c r="I48" s="23">
        <v>100</v>
      </c>
      <c r="J48" s="23">
        <v>100</v>
      </c>
      <c r="K48" s="23">
        <v>0</v>
      </c>
      <c r="L48" s="23">
        <v>0</v>
      </c>
      <c r="M48" s="20">
        <f t="shared" si="1"/>
        <v>76</v>
      </c>
    </row>
    <row r="49" spans="1:13">
      <c r="A49" s="20" t="s">
        <v>106</v>
      </c>
      <c r="B49" s="20" t="s">
        <v>107</v>
      </c>
      <c r="C49" s="23">
        <v>100</v>
      </c>
      <c r="D49" s="23">
        <v>100</v>
      </c>
      <c r="E49" s="23">
        <v>100</v>
      </c>
      <c r="F49" s="23">
        <v>80</v>
      </c>
      <c r="G49" s="23">
        <v>90</v>
      </c>
      <c r="H49" s="23">
        <v>90</v>
      </c>
      <c r="I49" s="23">
        <v>90</v>
      </c>
      <c r="J49" s="23">
        <v>100</v>
      </c>
      <c r="K49" s="23">
        <v>100</v>
      </c>
      <c r="L49" s="23">
        <v>90</v>
      </c>
      <c r="M49" s="20">
        <f t="shared" si="1"/>
        <v>94</v>
      </c>
    </row>
    <row r="50" spans="1:13">
      <c r="A50" s="20" t="s">
        <v>108</v>
      </c>
      <c r="B50" s="20" t="s">
        <v>109</v>
      </c>
      <c r="C50" s="23">
        <v>100</v>
      </c>
      <c r="D50" s="23">
        <v>80</v>
      </c>
      <c r="E50" s="23">
        <v>100</v>
      </c>
      <c r="F50" s="23">
        <v>80</v>
      </c>
      <c r="G50" s="23">
        <v>100</v>
      </c>
      <c r="H50" s="23">
        <v>100</v>
      </c>
      <c r="I50" s="23">
        <v>100</v>
      </c>
      <c r="J50" s="23">
        <v>100</v>
      </c>
      <c r="K50" s="23">
        <v>100</v>
      </c>
      <c r="L50" s="23">
        <v>100</v>
      </c>
      <c r="M50" s="20">
        <f t="shared" si="1"/>
        <v>96</v>
      </c>
    </row>
    <row r="51" spans="1:13">
      <c r="A51" s="20" t="s">
        <v>110</v>
      </c>
      <c r="B51" s="20" t="s">
        <v>111</v>
      </c>
      <c r="C51" s="23">
        <v>80</v>
      </c>
      <c r="D51" s="23">
        <v>100</v>
      </c>
      <c r="E51" s="23">
        <v>100</v>
      </c>
      <c r="F51" s="23">
        <v>100</v>
      </c>
      <c r="G51" s="23">
        <v>100</v>
      </c>
      <c r="H51" s="23">
        <v>100</v>
      </c>
      <c r="I51" s="23">
        <v>100</v>
      </c>
      <c r="J51" s="23">
        <v>0</v>
      </c>
      <c r="K51" s="23">
        <v>0</v>
      </c>
      <c r="L51" s="23">
        <v>100</v>
      </c>
      <c r="M51" s="20">
        <f t="shared" si="1"/>
        <v>78</v>
      </c>
    </row>
    <row r="52" spans="1:13">
      <c r="A52" s="20" t="s">
        <v>112</v>
      </c>
      <c r="B52" s="20" t="s">
        <v>113</v>
      </c>
      <c r="C52" s="23">
        <v>100</v>
      </c>
      <c r="D52" s="23">
        <v>100</v>
      </c>
      <c r="E52" s="23">
        <v>100</v>
      </c>
      <c r="F52" s="23">
        <v>80</v>
      </c>
      <c r="G52" s="23">
        <v>100</v>
      </c>
      <c r="H52" s="23">
        <v>100</v>
      </c>
      <c r="I52" s="23">
        <v>100</v>
      </c>
      <c r="J52" s="23">
        <v>100</v>
      </c>
      <c r="K52" s="23">
        <v>100</v>
      </c>
      <c r="L52" s="23">
        <v>100</v>
      </c>
      <c r="M52" s="20">
        <f t="shared" si="1"/>
        <v>98</v>
      </c>
    </row>
    <row r="53" spans="1:13">
      <c r="A53" s="20" t="s">
        <v>114</v>
      </c>
      <c r="B53" s="20" t="s">
        <v>115</v>
      </c>
      <c r="C53" s="23">
        <v>100</v>
      </c>
      <c r="D53" s="23">
        <v>100</v>
      </c>
      <c r="E53" s="23">
        <v>80</v>
      </c>
      <c r="F53" s="23">
        <v>90</v>
      </c>
      <c r="G53" s="23">
        <v>100</v>
      </c>
      <c r="H53" s="23">
        <v>100</v>
      </c>
      <c r="I53" s="23">
        <v>90</v>
      </c>
      <c r="J53" s="23">
        <v>100</v>
      </c>
      <c r="K53" s="23">
        <v>0</v>
      </c>
      <c r="L53" s="23">
        <v>100</v>
      </c>
      <c r="M53" s="20">
        <f t="shared" si="1"/>
        <v>86</v>
      </c>
    </row>
  </sheetData>
  <mergeCells count="1">
    <mergeCell ref="A2:M2"/>
  </mergeCells>
  <printOptions horizontalCentered="1" verticalCentered="1"/>
  <pageMargins left="0.751388888888889" right="0.751388888888889" top="1" bottom="1" header="0.5" footer="0.5"/>
  <pageSetup paperSize="9" scale="76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2"/>
  <sheetViews>
    <sheetView tabSelected="1" topLeftCell="A28" workbookViewId="0">
      <selection activeCell="A2" sqref="A2:J52"/>
    </sheetView>
  </sheetViews>
  <sheetFormatPr defaultColWidth="8.88888888888889" defaultRowHeight="14.4"/>
  <cols>
    <col min="1" max="1" width="13.5555555555556" customWidth="1"/>
    <col min="10" max="10" width="10" customWidth="1"/>
  </cols>
  <sheetData>
    <row r="1" spans="1:10">
      <c r="A1" s="19" t="s">
        <v>138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1" t="s">
        <v>1</v>
      </c>
      <c r="B2" s="11" t="s">
        <v>2</v>
      </c>
      <c r="C2" s="11" t="s">
        <v>139</v>
      </c>
      <c r="D2" s="11" t="s">
        <v>140</v>
      </c>
      <c r="E2" s="11" t="s">
        <v>141</v>
      </c>
      <c r="F2" s="11" t="s">
        <v>142</v>
      </c>
      <c r="G2" s="11" t="s">
        <v>143</v>
      </c>
      <c r="H2" s="11" t="s">
        <v>144</v>
      </c>
      <c r="I2" s="11" t="s">
        <v>145</v>
      </c>
      <c r="J2" s="11" t="s">
        <v>126</v>
      </c>
    </row>
    <row r="3" spans="1:10">
      <c r="A3" s="20" t="str">
        <f>[1]作业统计!B5</f>
        <v>2020211034</v>
      </c>
      <c r="B3" s="20" t="str">
        <f>[1]作业统计!A5</f>
        <v>张梦杰</v>
      </c>
      <c r="C3" s="20">
        <f>[1]作业统计!F5</f>
        <v>80</v>
      </c>
      <c r="D3" s="20">
        <f>[1]作业统计!O5</f>
        <v>80</v>
      </c>
      <c r="E3" s="20">
        <f>[1]作业统计!X5</f>
        <v>80</v>
      </c>
      <c r="F3" s="20">
        <f>[1]作业统计!AG5</f>
        <v>100</v>
      </c>
      <c r="G3" s="20">
        <f>[1]作业统计!AM5</f>
        <v>70</v>
      </c>
      <c r="H3" s="20">
        <f>[1]作业统计!AP5</f>
        <v>70</v>
      </c>
      <c r="I3" s="20">
        <f>[1]作业统计!BB5</f>
        <v>70</v>
      </c>
      <c r="J3" s="21">
        <f t="shared" ref="J3:J10" si="0">AVERAGE(C3:I3)</f>
        <v>78.5714285714286</v>
      </c>
    </row>
    <row r="4" spans="1:10">
      <c r="A4" s="20" t="str">
        <f>[1]作业统计!B6</f>
        <v>2020213700</v>
      </c>
      <c r="B4" s="20" t="str">
        <f>[1]作业统计!A6</f>
        <v>童其凡</v>
      </c>
      <c r="C4" s="20">
        <f>[1]作业统计!F6</f>
        <v>90</v>
      </c>
      <c r="D4" s="20">
        <f>[1]作业统计!O6</f>
        <v>90</v>
      </c>
      <c r="E4" s="20">
        <f>[1]作业统计!X6</f>
        <v>80</v>
      </c>
      <c r="F4" s="20">
        <f>[1]作业统计!AG6</f>
        <v>100</v>
      </c>
      <c r="G4" s="20">
        <f>[1]作业统计!AM6</f>
        <v>60</v>
      </c>
      <c r="H4" s="20">
        <f>[1]作业统计!AP6</f>
        <v>90</v>
      </c>
      <c r="I4" s="20">
        <f>[1]作业统计!BB6</f>
        <v>70</v>
      </c>
      <c r="J4" s="21">
        <f t="shared" si="0"/>
        <v>82.8571428571429</v>
      </c>
    </row>
    <row r="5" spans="1:10">
      <c r="A5" s="20" t="str">
        <f>[1]作业统计!B7</f>
        <v>2022210331</v>
      </c>
      <c r="B5" s="20" t="str">
        <f>[1]作业统计!A7</f>
        <v>曹安晨</v>
      </c>
      <c r="C5" s="20">
        <f>[1]作业统计!F7</f>
        <v>100</v>
      </c>
      <c r="D5" s="20">
        <f>[1]作业统计!O7</f>
        <v>90</v>
      </c>
      <c r="E5" s="20">
        <f>[1]作业统计!X7</f>
        <v>100</v>
      </c>
      <c r="F5" s="20">
        <f>[1]作业统计!AG7</f>
        <v>100</v>
      </c>
      <c r="G5" s="20">
        <f>[1]作业统计!AM7</f>
        <v>70</v>
      </c>
      <c r="H5" s="20">
        <f>[1]作业统计!AP7</f>
        <v>80</v>
      </c>
      <c r="I5" s="20">
        <f>[1]作业统计!BB7</f>
        <v>70</v>
      </c>
      <c r="J5" s="21">
        <f t="shared" si="0"/>
        <v>87.1428571428571</v>
      </c>
    </row>
    <row r="6" spans="1:10">
      <c r="A6" s="20" t="str">
        <f>[1]作业统计!B8</f>
        <v>2022210332</v>
      </c>
      <c r="B6" s="20" t="str">
        <f>[1]作业统计!A8</f>
        <v>陈晨</v>
      </c>
      <c r="C6" s="20">
        <f>[1]作业统计!F8</f>
        <v>100</v>
      </c>
      <c r="D6" s="20">
        <f>[1]作业统计!O8</f>
        <v>90</v>
      </c>
      <c r="E6" s="20">
        <f>[1]作业统计!X8</f>
        <v>70</v>
      </c>
      <c r="F6" s="20">
        <f>[1]作业统计!AG8</f>
        <v>100</v>
      </c>
      <c r="G6" s="20">
        <f>[1]作业统计!AM8</f>
        <v>80</v>
      </c>
      <c r="H6" s="20">
        <f>[1]作业统计!AP8</f>
        <v>90</v>
      </c>
      <c r="I6" s="20">
        <f>[1]作业统计!BB8</f>
        <v>70</v>
      </c>
      <c r="J6" s="21">
        <f t="shared" si="0"/>
        <v>85.7142857142857</v>
      </c>
    </row>
    <row r="7" spans="1:10">
      <c r="A7" s="20" t="str">
        <f>[1]作业统计!B9</f>
        <v>2022210333</v>
      </c>
      <c r="B7" s="20" t="str">
        <f>[1]作业统计!A9</f>
        <v>陈创东</v>
      </c>
      <c r="C7" s="20">
        <f>[1]作业统计!F9</f>
        <v>100</v>
      </c>
      <c r="D7" s="20">
        <f>[1]作业统计!O9</f>
        <v>60</v>
      </c>
      <c r="E7" s="20">
        <f>[1]作业统计!X9</f>
        <v>70</v>
      </c>
      <c r="F7" s="20">
        <f>[1]作业统计!AG9</f>
        <v>80</v>
      </c>
      <c r="G7" s="20">
        <f>[1]作业统计!AM9</f>
        <v>95</v>
      </c>
      <c r="H7" s="20">
        <f>[1]作业统计!AP9</f>
        <v>90</v>
      </c>
      <c r="I7" s="20">
        <f>[1]作业统计!BB9</f>
        <v>60</v>
      </c>
      <c r="J7" s="21">
        <f t="shared" si="0"/>
        <v>79.2857142857143</v>
      </c>
    </row>
    <row r="8" spans="1:10">
      <c r="A8" s="20" t="str">
        <f>[1]作业统计!B10</f>
        <v>2022210334</v>
      </c>
      <c r="B8" s="20" t="str">
        <f>[1]作业统计!A10</f>
        <v>程纪阳</v>
      </c>
      <c r="C8" s="20">
        <f>[1]作业统计!F10</f>
        <v>80</v>
      </c>
      <c r="D8" s="20">
        <f>[1]作业统计!O10</f>
        <v>100</v>
      </c>
      <c r="E8" s="20">
        <f>[1]作业统计!X10</f>
        <v>100</v>
      </c>
      <c r="F8" s="20">
        <f>[1]作业统计!AG10</f>
        <v>100</v>
      </c>
      <c r="G8" s="20">
        <f>[1]作业统计!AM10</f>
        <v>80</v>
      </c>
      <c r="H8" s="20">
        <f>[1]作业统计!AP10</f>
        <v>80</v>
      </c>
      <c r="I8" s="20">
        <f>[1]作业统计!BB10</f>
        <v>80</v>
      </c>
      <c r="J8" s="21">
        <f t="shared" si="0"/>
        <v>88.5714285714286</v>
      </c>
    </row>
    <row r="9" spans="1:10">
      <c r="A9" s="20" t="str">
        <f>[1]作业统计!B11</f>
        <v>2022210335</v>
      </c>
      <c r="B9" s="20" t="str">
        <f>[1]作业统计!A11</f>
        <v>程梦圆</v>
      </c>
      <c r="C9" s="20">
        <f>[1]作业统计!F11</f>
        <v>100</v>
      </c>
      <c r="D9" s="20">
        <f>[1]作业统计!O11</f>
        <v>90</v>
      </c>
      <c r="E9" s="20">
        <f>[1]作业统计!X11</f>
        <v>80</v>
      </c>
      <c r="F9" s="20">
        <f>[1]作业统计!AG11</f>
        <v>100</v>
      </c>
      <c r="G9" s="20">
        <f>[1]作业统计!AM11</f>
        <v>80</v>
      </c>
      <c r="H9" s="20">
        <f>[1]作业统计!AP11</f>
        <v>70</v>
      </c>
      <c r="I9" s="20">
        <f>[1]作业统计!BB11</f>
        <v>70</v>
      </c>
      <c r="J9" s="21">
        <f t="shared" si="0"/>
        <v>84.2857142857143</v>
      </c>
    </row>
    <row r="10" spans="1:10">
      <c r="A10" s="20" t="str">
        <f>[1]作业统计!B12</f>
        <v>2022210337</v>
      </c>
      <c r="B10" s="20" t="str">
        <f>[1]作业统计!A12</f>
        <v>邓慧茹</v>
      </c>
      <c r="C10" s="20">
        <f>[1]作业统计!F12</f>
        <v>100</v>
      </c>
      <c r="D10" s="20">
        <f>[1]作业统计!O12</f>
        <v>80</v>
      </c>
      <c r="E10" s="20">
        <f>[1]作业统计!X12</f>
        <v>95</v>
      </c>
      <c r="F10" s="20">
        <f>[1]作业统计!AG12</f>
        <v>90</v>
      </c>
      <c r="G10" s="20">
        <f>[1]作业统计!AM12</f>
        <v>80</v>
      </c>
      <c r="H10" s="20">
        <f>[1]作业统计!AP12</f>
        <v>60</v>
      </c>
      <c r="I10" s="20">
        <f>[1]作业统计!BB12</f>
        <v>70</v>
      </c>
      <c r="J10" s="21">
        <f t="shared" si="0"/>
        <v>82.1428571428571</v>
      </c>
    </row>
    <row r="11" spans="1:10">
      <c r="A11" s="20" t="str">
        <f>[1]作业统计!B13</f>
        <v>2022210338</v>
      </c>
      <c r="B11" s="20" t="str">
        <f>[1]作业统计!A13</f>
        <v>丁玉耀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1">
        <v>0</v>
      </c>
    </row>
    <row r="12" spans="1:10">
      <c r="A12" s="20" t="str">
        <f>[1]作业统计!B14</f>
        <v>2022210339</v>
      </c>
      <c r="B12" s="20" t="str">
        <f>[1]作业统计!A14</f>
        <v>范鑫蕊</v>
      </c>
      <c r="C12" s="20">
        <f>[1]作业统计!F14</f>
        <v>100</v>
      </c>
      <c r="D12" s="20">
        <f>[1]作业统计!O14</f>
        <v>80</v>
      </c>
      <c r="E12" s="20">
        <f>[1]作业统计!X14</f>
        <v>90</v>
      </c>
      <c r="F12" s="20">
        <f>[1]作业统计!AG14</f>
        <v>80</v>
      </c>
      <c r="G12" s="20">
        <f>[1]作业统计!AM14</f>
        <v>70</v>
      </c>
      <c r="H12" s="20">
        <f>[1]作业统计!AP14</f>
        <v>80</v>
      </c>
      <c r="I12" s="20">
        <f>[1]作业统计!BB14</f>
        <v>70</v>
      </c>
      <c r="J12" s="21">
        <f t="shared" ref="J12:J19" si="1">AVERAGE(C12:I12)</f>
        <v>81.4285714285714</v>
      </c>
    </row>
    <row r="13" spans="1:10">
      <c r="A13" s="20" t="str">
        <f>[1]作业统计!B15</f>
        <v>2022210342</v>
      </c>
      <c r="B13" s="20" t="str">
        <f>[1]作业统计!A15</f>
        <v>高恩鹏</v>
      </c>
      <c r="C13" s="20">
        <f>[1]作业统计!F15</f>
        <v>100</v>
      </c>
      <c r="D13" s="20">
        <f>[1]作业统计!O15</f>
        <v>100</v>
      </c>
      <c r="E13" s="20">
        <f>[1]作业统计!X15</f>
        <v>80</v>
      </c>
      <c r="F13" s="20">
        <f>[1]作业统计!AG15</f>
        <v>100</v>
      </c>
      <c r="G13" s="20">
        <f>[1]作业统计!AM15</f>
        <v>80</v>
      </c>
      <c r="H13" s="20">
        <f>[1]作业统计!AP15</f>
        <v>80</v>
      </c>
      <c r="I13" s="20">
        <f>[1]作业统计!BB15</f>
        <v>95</v>
      </c>
      <c r="J13" s="21">
        <f t="shared" si="1"/>
        <v>90.7142857142857</v>
      </c>
    </row>
    <row r="14" spans="1:10">
      <c r="A14" s="20" t="str">
        <f>[1]作业统计!B16</f>
        <v>2022210343</v>
      </c>
      <c r="B14" s="20" t="str">
        <f>[1]作业统计!A16</f>
        <v>关雪艳</v>
      </c>
      <c r="C14" s="20">
        <f>[1]作业统计!F16</f>
        <v>100</v>
      </c>
      <c r="D14" s="20">
        <f>[1]作业统计!O16</f>
        <v>80</v>
      </c>
      <c r="E14" s="20">
        <f>[1]作业统计!X16</f>
        <v>90</v>
      </c>
      <c r="F14" s="20">
        <f>[1]作业统计!AG16</f>
        <v>95</v>
      </c>
      <c r="G14" s="20">
        <f>[1]作业统计!AM16</f>
        <v>80</v>
      </c>
      <c r="H14" s="20">
        <f>[1]作业统计!AP16</f>
        <v>80</v>
      </c>
      <c r="I14" s="20">
        <f>[1]作业统计!BB16</f>
        <v>70</v>
      </c>
      <c r="J14" s="21">
        <f t="shared" si="1"/>
        <v>85</v>
      </c>
    </row>
    <row r="15" spans="1:10">
      <c r="A15" s="20" t="str">
        <f>[1]作业统计!B17</f>
        <v>2022210344</v>
      </c>
      <c r="B15" s="20" t="str">
        <f>[1]作业统计!A17</f>
        <v>郭新杰</v>
      </c>
      <c r="C15" s="20">
        <f>[1]作业统计!F17</f>
        <v>100</v>
      </c>
      <c r="D15" s="20">
        <f>[1]作业统计!O17</f>
        <v>90</v>
      </c>
      <c r="E15" s="20">
        <f>[1]作业统计!X17</f>
        <v>70</v>
      </c>
      <c r="F15" s="20">
        <f>[1]作业统计!AG17</f>
        <v>100</v>
      </c>
      <c r="G15" s="20">
        <f>[1]作业统计!AM17</f>
        <v>80</v>
      </c>
      <c r="H15" s="20">
        <f>[1]作业统计!AP17</f>
        <v>70</v>
      </c>
      <c r="I15" s="20">
        <f>[1]作业统计!BB17</f>
        <v>70</v>
      </c>
      <c r="J15" s="21">
        <f t="shared" si="1"/>
        <v>82.8571428571429</v>
      </c>
    </row>
    <row r="16" spans="1:10">
      <c r="A16" s="20" t="str">
        <f>[1]作业统计!B18</f>
        <v>2022210346</v>
      </c>
      <c r="B16" s="20" t="str">
        <f>[1]作业统计!A18</f>
        <v>洪晓瑞</v>
      </c>
      <c r="C16" s="20">
        <f>[1]作业统计!F18</f>
        <v>100</v>
      </c>
      <c r="D16" s="20">
        <f>[1]作业统计!O18</f>
        <v>100</v>
      </c>
      <c r="E16" s="20">
        <f>[1]作业统计!X18</f>
        <v>80</v>
      </c>
      <c r="F16" s="20">
        <f>[1]作业统计!AG18</f>
        <v>100</v>
      </c>
      <c r="G16" s="20">
        <f>[1]作业统计!AM18</f>
        <v>70</v>
      </c>
      <c r="H16" s="20">
        <f>[1]作业统计!AP18</f>
        <v>80</v>
      </c>
      <c r="I16" s="20">
        <f>[1]作业统计!BB18</f>
        <v>95</v>
      </c>
      <c r="J16" s="21">
        <f t="shared" si="1"/>
        <v>89.2857142857143</v>
      </c>
    </row>
    <row r="17" spans="1:10">
      <c r="A17" s="20" t="str">
        <f>[1]作业统计!B19</f>
        <v>2022210347</v>
      </c>
      <c r="B17" s="20" t="str">
        <f>[1]作业统计!A19</f>
        <v>胡步兴</v>
      </c>
      <c r="C17" s="20">
        <f>[1]作业统计!F19</f>
        <v>100</v>
      </c>
      <c r="D17" s="20">
        <f>[1]作业统计!O19</f>
        <v>90</v>
      </c>
      <c r="E17" s="20">
        <f>[1]作业统计!X19</f>
        <v>90</v>
      </c>
      <c r="F17" s="20">
        <f>[1]作业统计!AG19</f>
        <v>95</v>
      </c>
      <c r="G17" s="20">
        <f>[1]作业统计!AM19</f>
        <v>90</v>
      </c>
      <c r="H17" s="20">
        <f>[1]作业统计!AP19</f>
        <v>80</v>
      </c>
      <c r="I17" s="20">
        <f>[1]作业统计!BB19</f>
        <v>70</v>
      </c>
      <c r="J17" s="21">
        <f t="shared" si="1"/>
        <v>87.8571428571429</v>
      </c>
    </row>
    <row r="18" spans="1:10">
      <c r="A18" s="20" t="str">
        <f>[1]作业统计!B20</f>
        <v>2022210348</v>
      </c>
      <c r="B18" s="20" t="str">
        <f>[1]作业统计!A20</f>
        <v>胡昊泱</v>
      </c>
      <c r="C18" s="20">
        <f>[1]作业统计!F20</f>
        <v>100</v>
      </c>
      <c r="D18" s="20">
        <f>[1]作业统计!O20</f>
        <v>80</v>
      </c>
      <c r="E18" s="20">
        <f>[1]作业统计!X20</f>
        <v>70</v>
      </c>
      <c r="F18" s="20">
        <f>[1]作业统计!AG20</f>
        <v>100</v>
      </c>
      <c r="G18" s="20">
        <f>[1]作业统计!AM20</f>
        <v>80</v>
      </c>
      <c r="H18" s="20">
        <f>[1]作业统计!AP20</f>
        <v>70</v>
      </c>
      <c r="I18" s="20">
        <f>[1]作业统计!BB20</f>
        <v>70</v>
      </c>
      <c r="J18" s="21">
        <f t="shared" si="1"/>
        <v>81.4285714285714</v>
      </c>
    </row>
    <row r="19" spans="1:10">
      <c r="A19" s="20" t="str">
        <f>[1]作业统计!B21</f>
        <v>2022210351</v>
      </c>
      <c r="B19" s="20" t="str">
        <f>[1]作业统计!A21</f>
        <v>季玮</v>
      </c>
      <c r="C19" s="20">
        <f>[1]作业统计!F21</f>
        <v>100</v>
      </c>
      <c r="D19" s="20">
        <f>[1]作业统计!O21</f>
        <v>80</v>
      </c>
      <c r="E19" s="20">
        <f>[1]作业统计!X21</f>
        <v>100</v>
      </c>
      <c r="F19" s="20">
        <f>[1]作业统计!AG21</f>
        <v>100</v>
      </c>
      <c r="G19" s="20">
        <f>[1]作业统计!AM21</f>
        <v>90</v>
      </c>
      <c r="H19" s="20">
        <f>[1]作业统计!AP21</f>
        <v>80</v>
      </c>
      <c r="I19" s="20">
        <f>[1]作业统计!BB21</f>
        <v>70</v>
      </c>
      <c r="J19" s="21">
        <f t="shared" si="1"/>
        <v>88.5714285714286</v>
      </c>
    </row>
    <row r="20" spans="1:10">
      <c r="A20" s="20" t="str">
        <f>[1]作业统计!B22</f>
        <v>2022210359</v>
      </c>
      <c r="B20" s="20" t="str">
        <f>[1]作业统计!A22</f>
        <v>李宝航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1">
        <v>0</v>
      </c>
    </row>
    <row r="21" spans="1:10">
      <c r="A21" s="20" t="str">
        <f>[1]作业统计!B23</f>
        <v>2022210360</v>
      </c>
      <c r="B21" s="20" t="str">
        <f>[1]作业统计!A23</f>
        <v>李浩</v>
      </c>
      <c r="C21" s="20">
        <f>[1]作业统计!F23</f>
        <v>100</v>
      </c>
      <c r="D21" s="20">
        <f>[1]作业统计!O23</f>
        <v>95</v>
      </c>
      <c r="E21" s="20">
        <f>[1]作业统计!X23</f>
        <v>80</v>
      </c>
      <c r="F21" s="20">
        <f>[1]作业统计!AG23</f>
        <v>100</v>
      </c>
      <c r="G21" s="20">
        <f>[1]作业统计!AM23</f>
        <v>90</v>
      </c>
      <c r="H21" s="20">
        <f>[1]作业统计!AP23</f>
        <v>80</v>
      </c>
      <c r="I21" s="20">
        <f>[1]作业统计!BB23</f>
        <v>70</v>
      </c>
      <c r="J21" s="21">
        <f t="shared" ref="J21:J42" si="2">AVERAGE(C21:I21)</f>
        <v>87.8571428571429</v>
      </c>
    </row>
    <row r="22" spans="1:10">
      <c r="A22" s="20" t="str">
        <f>[1]作业统计!B24</f>
        <v>2022210361</v>
      </c>
      <c r="B22" s="20" t="str">
        <f>[1]作业统计!A24</f>
        <v>李今朝</v>
      </c>
      <c r="C22" s="20">
        <f>[1]作业统计!F24</f>
        <v>100</v>
      </c>
      <c r="D22" s="20">
        <f>[1]作业统计!O24</f>
        <v>90</v>
      </c>
      <c r="E22" s="20">
        <f>[1]作业统计!X24</f>
        <v>80</v>
      </c>
      <c r="F22" s="20">
        <f>[1]作业统计!AG24</f>
        <v>100</v>
      </c>
      <c r="G22" s="20">
        <f>[1]作业统计!AM24</f>
        <v>70</v>
      </c>
      <c r="H22" s="20">
        <v>0</v>
      </c>
      <c r="I22" s="20">
        <f>[1]作业统计!BB24</f>
        <v>60</v>
      </c>
      <c r="J22" s="21">
        <f t="shared" si="2"/>
        <v>71.4285714285714</v>
      </c>
    </row>
    <row r="23" spans="1:10">
      <c r="A23" s="20" t="str">
        <f>[1]作业统计!B25</f>
        <v>2022210362</v>
      </c>
      <c r="B23" s="20" t="str">
        <f>[1]作业统计!A25</f>
        <v>李良辰</v>
      </c>
      <c r="C23" s="20">
        <f>[1]作业统计!F25</f>
        <v>100</v>
      </c>
      <c r="D23" s="20">
        <f>[1]作业统计!O25</f>
        <v>80</v>
      </c>
      <c r="E23" s="20">
        <f>[1]作业统计!X25</f>
        <v>70</v>
      </c>
      <c r="F23" s="20">
        <f>[1]作业统计!AG25</f>
        <v>90</v>
      </c>
      <c r="G23" s="20">
        <f>[1]作业统计!AM25</f>
        <v>50</v>
      </c>
      <c r="H23" s="20">
        <f>[1]作业统计!AP25</f>
        <v>80</v>
      </c>
      <c r="I23" s="20">
        <f>[1]作业统计!BB25</f>
        <v>50</v>
      </c>
      <c r="J23" s="21">
        <f t="shared" si="2"/>
        <v>74.2857142857143</v>
      </c>
    </row>
    <row r="24" spans="1:10">
      <c r="A24" s="20" t="str">
        <f>[1]作业统计!B26</f>
        <v>2022210367</v>
      </c>
      <c r="B24" s="20" t="str">
        <f>[1]作业统计!A26</f>
        <v>梁平</v>
      </c>
      <c r="C24" s="20">
        <f>[1]作业统计!F26</f>
        <v>80</v>
      </c>
      <c r="D24" s="20">
        <f>[1]作业统计!O26</f>
        <v>90</v>
      </c>
      <c r="E24" s="20">
        <f>[1]作业统计!X26</f>
        <v>80</v>
      </c>
      <c r="F24" s="20">
        <f>[1]作业统计!AG26</f>
        <v>100</v>
      </c>
      <c r="G24" s="20">
        <f>[1]作业统计!AM26</f>
        <v>60</v>
      </c>
      <c r="H24" s="20">
        <f>[1]作业统计!AP26</f>
        <v>90</v>
      </c>
      <c r="I24" s="20">
        <f>[1]作业统计!BB26</f>
        <v>60</v>
      </c>
      <c r="J24" s="21">
        <f t="shared" si="2"/>
        <v>80</v>
      </c>
    </row>
    <row r="25" spans="1:10">
      <c r="A25" s="20" t="str">
        <f>[1]作业统计!B27</f>
        <v>2022210371</v>
      </c>
      <c r="B25" s="20" t="str">
        <f>[1]作业统计!A27</f>
        <v>陆征宇</v>
      </c>
      <c r="C25" s="20">
        <f>[1]作业统计!F27</f>
        <v>80</v>
      </c>
      <c r="D25" s="20">
        <f>[1]作业统计!O27</f>
        <v>90</v>
      </c>
      <c r="E25" s="20">
        <f>[1]作业统计!X27</f>
        <v>100</v>
      </c>
      <c r="F25" s="20">
        <f>[1]作业统计!AG27</f>
        <v>90</v>
      </c>
      <c r="G25" s="20">
        <f>[1]作业统计!AM27</f>
        <v>70</v>
      </c>
      <c r="H25" s="20">
        <f>[1]作业统计!AP27</f>
        <v>70</v>
      </c>
      <c r="I25" s="20">
        <f>[1]作业统计!BB27</f>
        <v>70</v>
      </c>
      <c r="J25" s="21">
        <f t="shared" si="2"/>
        <v>81.4285714285714</v>
      </c>
    </row>
    <row r="26" spans="1:10">
      <c r="A26" s="20" t="str">
        <f>[1]作业统计!B28</f>
        <v>2022210374</v>
      </c>
      <c r="B26" s="20" t="str">
        <f>[1]作业统计!A28</f>
        <v>苗佳宇</v>
      </c>
      <c r="C26" s="20">
        <f>[1]作业统计!F28</f>
        <v>100</v>
      </c>
      <c r="D26" s="20">
        <f>[1]作业统计!O28</f>
        <v>100</v>
      </c>
      <c r="E26" s="20">
        <f>[1]作业统计!X28</f>
        <v>95</v>
      </c>
      <c r="F26" s="20">
        <f>[1]作业统计!AG28</f>
        <v>100</v>
      </c>
      <c r="G26" s="20">
        <f>[1]作业统计!AM28</f>
        <v>70</v>
      </c>
      <c r="H26" s="20">
        <f>[1]作业统计!AP28</f>
        <v>80</v>
      </c>
      <c r="I26" s="20">
        <f>[1]作业统计!BB28</f>
        <v>80</v>
      </c>
      <c r="J26" s="21">
        <f t="shared" si="2"/>
        <v>89.2857142857143</v>
      </c>
    </row>
    <row r="27" spans="1:10">
      <c r="A27" s="20" t="str">
        <f>[1]作业统计!B29</f>
        <v>2022210376</v>
      </c>
      <c r="B27" s="20" t="str">
        <f>[1]作业统计!A29</f>
        <v>庞雨俊</v>
      </c>
      <c r="C27" s="20">
        <f>[1]作业统计!F29</f>
        <v>100</v>
      </c>
      <c r="D27" s="20">
        <f>[1]作业统计!O29</f>
        <v>80</v>
      </c>
      <c r="E27" s="20">
        <f>[1]作业统计!X29</f>
        <v>70</v>
      </c>
      <c r="F27" s="20">
        <f>[1]作业统计!AG29</f>
        <v>100</v>
      </c>
      <c r="G27" s="20">
        <f>[1]作业统计!AM29</f>
        <v>70</v>
      </c>
      <c r="H27" s="20">
        <f>[1]作业统计!AP29</f>
        <v>70</v>
      </c>
      <c r="I27" s="20">
        <f>[1]作业统计!BB29</f>
        <v>95</v>
      </c>
      <c r="J27" s="21">
        <f t="shared" si="2"/>
        <v>83.5714285714286</v>
      </c>
    </row>
    <row r="28" spans="1:10">
      <c r="A28" s="20" t="str">
        <f>[1]作业统计!B30</f>
        <v>2022210378</v>
      </c>
      <c r="B28" s="20" t="str">
        <f>[1]作业统计!A30</f>
        <v>戚锐</v>
      </c>
      <c r="C28" s="20">
        <f>[1]作业统计!F30</f>
        <v>100</v>
      </c>
      <c r="D28" s="20">
        <f>[1]作业统计!O30</f>
        <v>100</v>
      </c>
      <c r="E28" s="20">
        <f>[1]作业统计!X30</f>
        <v>100</v>
      </c>
      <c r="F28" s="20">
        <f>[1]作业统计!AG30</f>
        <v>100</v>
      </c>
      <c r="G28" s="20">
        <f>[1]作业统计!AM30</f>
        <v>95</v>
      </c>
      <c r="H28" s="20">
        <f>[1]作业统计!AP30</f>
        <v>80</v>
      </c>
      <c r="I28" s="20">
        <f>[1]作业统计!BB30</f>
        <v>80</v>
      </c>
      <c r="J28" s="21">
        <f t="shared" si="2"/>
        <v>93.5714285714286</v>
      </c>
    </row>
    <row r="29" spans="1:10">
      <c r="A29" s="20" t="str">
        <f>[1]作业统计!B31</f>
        <v>2022210380</v>
      </c>
      <c r="B29" s="20" t="str">
        <f>[1]作业统计!A31</f>
        <v>任奕凯</v>
      </c>
      <c r="C29" s="20">
        <f>[1]作业统计!F31</f>
        <v>100</v>
      </c>
      <c r="D29" s="20">
        <f>[1]作业统计!O31</f>
        <v>80</v>
      </c>
      <c r="E29" s="20">
        <f>[1]作业统计!X31</f>
        <v>70</v>
      </c>
      <c r="F29" s="20">
        <f>[1]作业统计!AG31</f>
        <v>100</v>
      </c>
      <c r="G29" s="20">
        <f>[1]作业统计!AM31</f>
        <v>80</v>
      </c>
      <c r="H29" s="20">
        <f>[1]作业统计!AP31</f>
        <v>80</v>
      </c>
      <c r="I29" s="20">
        <f>[1]作业统计!BB31</f>
        <v>70</v>
      </c>
      <c r="J29" s="21">
        <f t="shared" si="2"/>
        <v>82.8571428571429</v>
      </c>
    </row>
    <row r="30" spans="1:10">
      <c r="A30" s="20" t="str">
        <f>[1]作业统计!B32</f>
        <v>2022210381</v>
      </c>
      <c r="B30" s="20" t="str">
        <f>[1]作业统计!A32</f>
        <v>阮珧</v>
      </c>
      <c r="C30" s="20">
        <f>[1]作业统计!F32</f>
        <v>80</v>
      </c>
      <c r="D30" s="20">
        <f>[1]作业统计!O32</f>
        <v>80</v>
      </c>
      <c r="E30" s="20">
        <f>[1]作业统计!X32</f>
        <v>80</v>
      </c>
      <c r="F30" s="20">
        <f>[1]作业统计!AG32</f>
        <v>80</v>
      </c>
      <c r="G30" s="20">
        <f>[1]作业统计!AM32</f>
        <v>60</v>
      </c>
      <c r="H30" s="20">
        <f>[1]作业统计!AP32</f>
        <v>80</v>
      </c>
      <c r="I30" s="20">
        <f>[1]作业统计!BB32</f>
        <v>60</v>
      </c>
      <c r="J30" s="21">
        <f t="shared" si="2"/>
        <v>74.2857142857143</v>
      </c>
    </row>
    <row r="31" spans="1:10">
      <c r="A31" s="20" t="str">
        <f>[1]作业统计!B33</f>
        <v>2022210384</v>
      </c>
      <c r="B31" s="20" t="str">
        <f>[1]作业统计!A33</f>
        <v>孙嘉婧</v>
      </c>
      <c r="C31" s="20">
        <f>[1]作业统计!F33</f>
        <v>80</v>
      </c>
      <c r="D31" s="20">
        <f>[1]作业统计!O33</f>
        <v>70</v>
      </c>
      <c r="E31" s="20">
        <f>[1]作业统计!X33</f>
        <v>80</v>
      </c>
      <c r="F31" s="20">
        <f>[1]作业统计!AG33</f>
        <v>100</v>
      </c>
      <c r="G31" s="20">
        <f>[1]作业统计!AM33</f>
        <v>80</v>
      </c>
      <c r="H31" s="20">
        <f>[1]作业统计!AP33</f>
        <v>80</v>
      </c>
      <c r="I31" s="20">
        <f>[1]作业统计!BB33</f>
        <v>70</v>
      </c>
      <c r="J31" s="21">
        <f t="shared" si="2"/>
        <v>80</v>
      </c>
    </row>
    <row r="32" spans="1:10">
      <c r="A32" s="20" t="str">
        <f>[1]作业统计!B34</f>
        <v>2022210385</v>
      </c>
      <c r="B32" s="20" t="str">
        <f>[1]作业统计!A34</f>
        <v>孙锦年</v>
      </c>
      <c r="C32" s="20">
        <f>[1]作业统计!F34</f>
        <v>100</v>
      </c>
      <c r="D32" s="20">
        <f>[1]作业统计!O34</f>
        <v>80</v>
      </c>
      <c r="E32" s="20">
        <f>[1]作业统计!X34</f>
        <v>80</v>
      </c>
      <c r="F32" s="20">
        <f>[1]作业统计!AG34</f>
        <v>80</v>
      </c>
      <c r="G32" s="20">
        <f>[1]作业统计!AM34</f>
        <v>80</v>
      </c>
      <c r="H32" s="20">
        <f>[1]作业统计!AP34</f>
        <v>80</v>
      </c>
      <c r="I32" s="20">
        <f>[1]作业统计!BB34</f>
        <v>60</v>
      </c>
      <c r="J32" s="21">
        <f t="shared" si="2"/>
        <v>80</v>
      </c>
    </row>
    <row r="33" spans="1:10">
      <c r="A33" s="20" t="str">
        <f>[1]作业统计!B35</f>
        <v>2022210387</v>
      </c>
      <c r="B33" s="20" t="str">
        <f>[1]作业统计!A35</f>
        <v>唐蕊</v>
      </c>
      <c r="C33" s="20">
        <f>[1]作业统计!F35</f>
        <v>90</v>
      </c>
      <c r="D33" s="20">
        <f>[1]作业统计!O35</f>
        <v>80</v>
      </c>
      <c r="E33" s="20">
        <f>[1]作业统计!X35</f>
        <v>80</v>
      </c>
      <c r="F33" s="20">
        <f>[1]作业统计!AG35</f>
        <v>100</v>
      </c>
      <c r="G33" s="20">
        <f>[1]作业统计!AM35</f>
        <v>90</v>
      </c>
      <c r="H33" s="20">
        <f>[1]作业统计!AP35</f>
        <v>80</v>
      </c>
      <c r="I33" s="20">
        <f>[1]作业统计!BB35</f>
        <v>70</v>
      </c>
      <c r="J33" s="21">
        <f t="shared" si="2"/>
        <v>84.2857142857143</v>
      </c>
    </row>
    <row r="34" spans="1:10">
      <c r="A34" s="20" t="str">
        <f>[1]作业统计!B36</f>
        <v>2022210389</v>
      </c>
      <c r="B34" s="20" t="str">
        <f>[1]作业统计!A36</f>
        <v>汪海洋</v>
      </c>
      <c r="C34" s="20">
        <f>[1]作业统计!F36</f>
        <v>100</v>
      </c>
      <c r="D34" s="20">
        <f>[1]作业统计!O36</f>
        <v>60</v>
      </c>
      <c r="E34" s="20">
        <f>[1]作业统计!X36</f>
        <v>90</v>
      </c>
      <c r="F34" s="20">
        <f>[1]作业统计!AG36</f>
        <v>90</v>
      </c>
      <c r="G34" s="20">
        <f>[1]作业统计!AM36</f>
        <v>80</v>
      </c>
      <c r="H34" s="20">
        <f>[1]作业统计!AP36</f>
        <v>80</v>
      </c>
      <c r="I34" s="20">
        <f>[1]作业统计!BB36</f>
        <v>70</v>
      </c>
      <c r="J34" s="21">
        <f t="shared" si="2"/>
        <v>81.4285714285714</v>
      </c>
    </row>
    <row r="35" spans="1:10">
      <c r="A35" s="20" t="str">
        <f>[1]作业统计!B37</f>
        <v>2022210392</v>
      </c>
      <c r="B35" s="20" t="str">
        <f>[1]作业统计!A37</f>
        <v>王瑞</v>
      </c>
      <c r="C35" s="20">
        <f>[1]作业统计!F37</f>
        <v>100</v>
      </c>
      <c r="D35" s="20">
        <f>[1]作业统计!O37</f>
        <v>100</v>
      </c>
      <c r="E35" s="20">
        <f>[1]作业统计!X37</f>
        <v>70</v>
      </c>
      <c r="F35" s="20">
        <f>[1]作业统计!AG37</f>
        <v>100</v>
      </c>
      <c r="G35" s="20">
        <f>[1]作业统计!AM37</f>
        <v>80</v>
      </c>
      <c r="H35" s="20">
        <f>[1]作业统计!AP37</f>
        <v>80</v>
      </c>
      <c r="I35" s="20">
        <f>[1]作业统计!BB37</f>
        <v>70</v>
      </c>
      <c r="J35" s="21">
        <f t="shared" si="2"/>
        <v>85.7142857142857</v>
      </c>
    </row>
    <row r="36" spans="1:10">
      <c r="A36" s="20" t="str">
        <f>[1]作业统计!B38</f>
        <v>2022210393</v>
      </c>
      <c r="B36" s="20" t="str">
        <f>[1]作业统计!A38</f>
        <v>王鑫玥</v>
      </c>
      <c r="C36" s="20">
        <f>[1]作业统计!F38</f>
        <v>100</v>
      </c>
      <c r="D36" s="20">
        <f>[1]作业统计!O38</f>
        <v>100</v>
      </c>
      <c r="E36" s="20">
        <f>[1]作业统计!X38</f>
        <v>80</v>
      </c>
      <c r="F36" s="20">
        <f>[1]作业统计!AG38</f>
        <v>60</v>
      </c>
      <c r="G36" s="20">
        <f>[1]作业统计!AM38</f>
        <v>80</v>
      </c>
      <c r="H36" s="20">
        <f>[1]作业统计!AP38</f>
        <v>60</v>
      </c>
      <c r="I36" s="20">
        <f>[1]作业统计!BB38</f>
        <v>70</v>
      </c>
      <c r="J36" s="21">
        <f t="shared" si="2"/>
        <v>78.5714285714286</v>
      </c>
    </row>
    <row r="37" spans="1:10">
      <c r="A37" s="20" t="str">
        <f>[1]作业统计!B39</f>
        <v>2022210394</v>
      </c>
      <c r="B37" s="20" t="str">
        <f>[1]作业统计!A39</f>
        <v>王志成</v>
      </c>
      <c r="C37" s="20">
        <f>[1]作业统计!F39</f>
        <v>80</v>
      </c>
      <c r="D37" s="20">
        <f>[1]作业统计!O39</f>
        <v>80</v>
      </c>
      <c r="E37" s="20">
        <f>[1]作业统计!X39</f>
        <v>90</v>
      </c>
      <c r="F37" s="20">
        <f>[1]作业统计!AG39</f>
        <v>90</v>
      </c>
      <c r="G37" s="20">
        <f>[1]作业统计!AM39</f>
        <v>70</v>
      </c>
      <c r="H37" s="20">
        <f>[1]作业统计!AP39</f>
        <v>70</v>
      </c>
      <c r="I37" s="20">
        <f>[1]作业统计!BB39</f>
        <v>70</v>
      </c>
      <c r="J37" s="21">
        <f t="shared" si="2"/>
        <v>78.5714285714286</v>
      </c>
    </row>
    <row r="38" spans="1:10">
      <c r="A38" s="20" t="str">
        <f>[1]作业统计!B40</f>
        <v>2022210400</v>
      </c>
      <c r="B38" s="20" t="str">
        <f>[1]作业统计!A40</f>
        <v>闫鹏飞</v>
      </c>
      <c r="C38" s="20">
        <f>[1]作业统计!F40</f>
        <v>100</v>
      </c>
      <c r="D38" s="20">
        <f>[1]作业统计!O40</f>
        <v>90</v>
      </c>
      <c r="E38" s="20">
        <f>[1]作业统计!X40</f>
        <v>70</v>
      </c>
      <c r="F38" s="20">
        <f>[1]作业统计!AG40</f>
        <v>90</v>
      </c>
      <c r="G38" s="20">
        <f>[1]作业统计!AM40</f>
        <v>70</v>
      </c>
      <c r="H38" s="20">
        <f>[1]作业统计!AP40</f>
        <v>80</v>
      </c>
      <c r="I38" s="20">
        <f>[1]作业统计!BB40</f>
        <v>70</v>
      </c>
      <c r="J38" s="21">
        <f t="shared" si="2"/>
        <v>81.4285714285714</v>
      </c>
    </row>
    <row r="39" spans="1:10">
      <c r="A39" s="20" t="str">
        <f>[1]作业统计!B41</f>
        <v>2022210401</v>
      </c>
      <c r="B39" s="20" t="str">
        <f>[1]作业统计!A41</f>
        <v>杨浩天</v>
      </c>
      <c r="C39" s="20">
        <f>[1]作业统计!F41</f>
        <v>90</v>
      </c>
      <c r="D39" s="20">
        <f>[1]作业统计!O41</f>
        <v>80</v>
      </c>
      <c r="E39" s="20">
        <f>[1]作业统计!X41</f>
        <v>80</v>
      </c>
      <c r="F39" s="20">
        <f>[1]作业统计!AG41</f>
        <v>100</v>
      </c>
      <c r="G39" s="20">
        <f>[1]作业统计!AM41</f>
        <v>70</v>
      </c>
      <c r="H39" s="20">
        <f>[1]作业统计!AP41</f>
        <v>80</v>
      </c>
      <c r="I39" s="20">
        <f>[1]作业统计!BB41</f>
        <v>60</v>
      </c>
      <c r="J39" s="21">
        <f t="shared" si="2"/>
        <v>80</v>
      </c>
    </row>
    <row r="40" spans="1:10">
      <c r="A40" s="20" t="str">
        <f>[1]作业统计!B42</f>
        <v>2022210402</v>
      </c>
      <c r="B40" s="20" t="str">
        <f>[1]作业统计!A42</f>
        <v>杨龙</v>
      </c>
      <c r="C40" s="20">
        <f>[1]作业统计!F42</f>
        <v>90</v>
      </c>
      <c r="D40" s="20">
        <f>[1]作业统计!O42</f>
        <v>80</v>
      </c>
      <c r="E40" s="20">
        <f>[1]作业统计!X42</f>
        <v>80</v>
      </c>
      <c r="F40" s="20">
        <f>[1]作业统计!AG42</f>
        <v>90</v>
      </c>
      <c r="G40" s="20">
        <f>[1]作业统计!AM42</f>
        <v>70</v>
      </c>
      <c r="H40" s="20">
        <f>[1]作业统计!AP42</f>
        <v>80</v>
      </c>
      <c r="I40" s="20">
        <f>[1]作业统计!BB42</f>
        <v>70</v>
      </c>
      <c r="J40" s="21">
        <f t="shared" si="2"/>
        <v>80</v>
      </c>
    </row>
    <row r="41" spans="1:10">
      <c r="A41" s="20" t="str">
        <f>[1]作业统计!B43</f>
        <v>2022210404</v>
      </c>
      <c r="B41" s="20" t="str">
        <f>[1]作业统计!A43</f>
        <v>詹庆</v>
      </c>
      <c r="C41" s="20">
        <f>[1]作业统计!F43</f>
        <v>80</v>
      </c>
      <c r="D41" s="20">
        <f>[1]作业统计!O43</f>
        <v>95</v>
      </c>
      <c r="E41" s="20">
        <f>[1]作业统计!X43</f>
        <v>95</v>
      </c>
      <c r="F41" s="20">
        <f>[1]作业统计!AG43</f>
        <v>100</v>
      </c>
      <c r="G41" s="20">
        <f>[1]作业统计!AM43</f>
        <v>80</v>
      </c>
      <c r="H41" s="20">
        <f>[1]作业统计!AP43</f>
        <v>80</v>
      </c>
      <c r="I41" s="20">
        <f>[1]作业统计!BB43</f>
        <v>70</v>
      </c>
      <c r="J41" s="21">
        <f t="shared" si="2"/>
        <v>85.7142857142857</v>
      </c>
    </row>
    <row r="42" spans="1:10">
      <c r="A42" s="20" t="str">
        <f>[1]作业统计!B44</f>
        <v>2022210405</v>
      </c>
      <c r="B42" s="20" t="str">
        <f>[1]作业统计!A44</f>
        <v>张金龙</v>
      </c>
      <c r="C42" s="20">
        <f>[1]作业统计!F44</f>
        <v>100</v>
      </c>
      <c r="D42" s="20">
        <f>[1]作业统计!O44</f>
        <v>90</v>
      </c>
      <c r="E42" s="20">
        <f>[1]作业统计!X44</f>
        <v>80</v>
      </c>
      <c r="F42" s="20">
        <f>[1]作业统计!AG44</f>
        <v>90</v>
      </c>
      <c r="G42" s="20">
        <f>[1]作业统计!AM44</f>
        <v>80</v>
      </c>
      <c r="H42" s="20">
        <f>[1]作业统计!AP44</f>
        <v>80</v>
      </c>
      <c r="I42" s="20">
        <f>[1]作业统计!BB44</f>
        <v>70</v>
      </c>
      <c r="J42" s="21">
        <f t="shared" si="2"/>
        <v>84.2857142857143</v>
      </c>
    </row>
    <row r="43" spans="1:10">
      <c r="A43" s="20" t="str">
        <f>[1]作业统计!B45</f>
        <v>2022210407</v>
      </c>
      <c r="B43" s="20" t="str">
        <f>[1]作业统计!A45</f>
        <v>张克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1">
        <v>0</v>
      </c>
    </row>
    <row r="44" spans="1:10">
      <c r="A44" s="20" t="str">
        <f>[1]作业统计!B46</f>
        <v>2022210411</v>
      </c>
      <c r="B44" s="20" t="str">
        <f>[1]作业统计!A46</f>
        <v>张文抱</v>
      </c>
      <c r="C44" s="20">
        <f>[1]作业统计!F46</f>
        <v>100</v>
      </c>
      <c r="D44" s="20">
        <f>[1]作业统计!O46</f>
        <v>80</v>
      </c>
      <c r="E44" s="20">
        <f>[1]作业统计!X46</f>
        <v>90</v>
      </c>
      <c r="F44" s="20">
        <f>[1]作业统计!AG46</f>
        <v>90</v>
      </c>
      <c r="G44" s="20">
        <f>[1]作业统计!AM46</f>
        <v>90</v>
      </c>
      <c r="H44" s="20">
        <f>[1]作业统计!AP46</f>
        <v>80</v>
      </c>
      <c r="I44" s="20">
        <f>[1]作业统计!BB46</f>
        <v>80</v>
      </c>
      <c r="J44" s="21">
        <f t="shared" ref="J44:J52" si="3">AVERAGE(C44:I44)</f>
        <v>87.1428571428571</v>
      </c>
    </row>
    <row r="45" spans="1:10">
      <c r="A45" s="20" t="str">
        <f>[1]作业统计!B47</f>
        <v>2022210414</v>
      </c>
      <c r="B45" s="20" t="str">
        <f>[1]作业统计!A47</f>
        <v>张玉妍</v>
      </c>
      <c r="C45" s="20">
        <f>[1]作业统计!F47</f>
        <v>100</v>
      </c>
      <c r="D45" s="20">
        <f>[1]作业统计!O47</f>
        <v>95</v>
      </c>
      <c r="E45" s="20">
        <f>[1]作业统计!X47</f>
        <v>80</v>
      </c>
      <c r="F45" s="20">
        <f>[1]作业统计!AG47</f>
        <v>100</v>
      </c>
      <c r="G45" s="20">
        <f>[1]作业统计!AM47</f>
        <v>70</v>
      </c>
      <c r="H45" s="20">
        <f>[1]作业统计!AP47</f>
        <v>80</v>
      </c>
      <c r="I45" s="20">
        <f>[1]作业统计!BB47</f>
        <v>70</v>
      </c>
      <c r="J45" s="21">
        <f t="shared" si="3"/>
        <v>85</v>
      </c>
    </row>
    <row r="46" spans="1:10">
      <c r="A46" s="20" t="str">
        <f>[1]作业统计!B48</f>
        <v>2022210416</v>
      </c>
      <c r="B46" s="20" t="str">
        <f>[1]作业统计!A48</f>
        <v>赵杰</v>
      </c>
      <c r="C46" s="20">
        <f>[1]作业统计!F48</f>
        <v>80</v>
      </c>
      <c r="D46" s="20">
        <f>[1]作业统计!O48</f>
        <v>90</v>
      </c>
      <c r="E46" s="20">
        <f>[1]作业统计!X48</f>
        <v>70</v>
      </c>
      <c r="F46" s="20">
        <f>[1]作业统计!AG48</f>
        <v>90</v>
      </c>
      <c r="G46" s="20">
        <f>[1]作业统计!AM48</f>
        <v>70</v>
      </c>
      <c r="H46" s="20">
        <f>[1]作业统计!AP48</f>
        <v>70</v>
      </c>
      <c r="I46" s="20">
        <f>[1]作业统计!BB48</f>
        <v>60</v>
      </c>
      <c r="J46" s="21">
        <f t="shared" si="3"/>
        <v>75.7142857142857</v>
      </c>
    </row>
    <row r="47" spans="1:10">
      <c r="A47" s="20" t="str">
        <f>[1]作业统计!B49</f>
        <v>2022210417</v>
      </c>
      <c r="B47" s="20" t="str">
        <f>[1]作业统计!A49</f>
        <v>郑存耀</v>
      </c>
      <c r="C47" s="20">
        <f>[1]作业统计!F49</f>
        <v>100</v>
      </c>
      <c r="D47" s="20">
        <f>[1]作业统计!O49</f>
        <v>60</v>
      </c>
      <c r="E47" s="20">
        <f>[1]作业统计!X49</f>
        <v>100</v>
      </c>
      <c r="F47" s="20">
        <f>[1]作业统计!AG49</f>
        <v>100</v>
      </c>
      <c r="G47" s="20">
        <f>[1]作业统计!AM49</f>
        <v>80</v>
      </c>
      <c r="H47" s="20">
        <f>[1]作业统计!AP49</f>
        <v>70</v>
      </c>
      <c r="I47" s="20">
        <v>0</v>
      </c>
      <c r="J47" s="21">
        <f t="shared" si="3"/>
        <v>72.8571428571429</v>
      </c>
    </row>
    <row r="48" spans="1:10">
      <c r="A48" s="20" t="str">
        <f>[1]作业统计!B50</f>
        <v>2022210422</v>
      </c>
      <c r="B48" s="20" t="str">
        <f>[1]作业统计!A50</f>
        <v>周宇</v>
      </c>
      <c r="C48" s="20">
        <f>[1]作业统计!F50</f>
        <v>100</v>
      </c>
      <c r="D48" s="20">
        <f>[1]作业统计!O50</f>
        <v>80</v>
      </c>
      <c r="E48" s="20">
        <f>[1]作业统计!X50</f>
        <v>100</v>
      </c>
      <c r="F48" s="20">
        <f>[1]作业统计!AG50</f>
        <v>100</v>
      </c>
      <c r="G48" s="20">
        <f>[1]作业统计!AM50</f>
        <v>70</v>
      </c>
      <c r="H48" s="20">
        <f>[1]作业统计!AP50</f>
        <v>60</v>
      </c>
      <c r="I48" s="20">
        <f>[1]作业统计!BB50</f>
        <v>70</v>
      </c>
      <c r="J48" s="21">
        <f t="shared" si="3"/>
        <v>82.8571428571429</v>
      </c>
    </row>
    <row r="49" spans="1:10">
      <c r="A49" s="20" t="str">
        <f>[1]作业统计!B51</f>
        <v>2022210423</v>
      </c>
      <c r="B49" s="20" t="str">
        <f>[1]作业统计!A51</f>
        <v>朱传双</v>
      </c>
      <c r="C49" s="20">
        <f>[1]作业统计!F51</f>
        <v>100</v>
      </c>
      <c r="D49" s="20">
        <f>[1]作业统计!O51</f>
        <v>80</v>
      </c>
      <c r="E49" s="20">
        <f>[1]作业统计!X51</f>
        <v>100</v>
      </c>
      <c r="F49" s="20">
        <f>[1]作业统计!AG51</f>
        <v>90</v>
      </c>
      <c r="G49" s="20">
        <f>[1]作业统计!AM51</f>
        <v>70</v>
      </c>
      <c r="H49" s="20">
        <f>[1]作业统计!AP51</f>
        <v>90</v>
      </c>
      <c r="I49" s="20">
        <f>[1]作业统计!BB51</f>
        <v>70</v>
      </c>
      <c r="J49" s="21">
        <f t="shared" si="3"/>
        <v>85.7142857142857</v>
      </c>
    </row>
    <row r="50" spans="1:10">
      <c r="A50" s="20" t="str">
        <f>[1]作业统计!B52</f>
        <v>2022210428</v>
      </c>
      <c r="B50" s="20" t="str">
        <f>[1]作业统计!A52</f>
        <v>朱世俊</v>
      </c>
      <c r="C50" s="20">
        <f>[1]作业统计!F52</f>
        <v>80</v>
      </c>
      <c r="D50" s="20">
        <f>[1]作业统计!O52</f>
        <v>90</v>
      </c>
      <c r="E50" s="20">
        <f>[1]作业统计!X52</f>
        <v>80</v>
      </c>
      <c r="F50" s="20">
        <f>[1]作业统计!AG52</f>
        <v>70</v>
      </c>
      <c r="G50" s="20">
        <v>0</v>
      </c>
      <c r="H50" s="20">
        <f>[1]作业统计!AP52</f>
        <v>70</v>
      </c>
      <c r="I50" s="20">
        <f>[1]作业统计!BB52</f>
        <v>80</v>
      </c>
      <c r="J50" s="21">
        <f t="shared" si="3"/>
        <v>67.1428571428571</v>
      </c>
    </row>
    <row r="51" spans="1:10">
      <c r="A51" s="20" t="str">
        <f>[1]作业统计!B53</f>
        <v>2022210429</v>
      </c>
      <c r="B51" s="20" t="str">
        <f>[1]作业统计!A53</f>
        <v>祝文耿</v>
      </c>
      <c r="C51" s="20">
        <f>[1]作业统计!F53</f>
        <v>80</v>
      </c>
      <c r="D51" s="20">
        <f>[1]作业统计!O53</f>
        <v>80</v>
      </c>
      <c r="E51" s="20">
        <f>[1]作业统计!X53</f>
        <v>100</v>
      </c>
      <c r="F51" s="20">
        <f>[1]作业统计!AG53</f>
        <v>80</v>
      </c>
      <c r="G51" s="20">
        <f>[1]作业统计!AM53</f>
        <v>80</v>
      </c>
      <c r="H51" s="20">
        <f>[1]作业统计!AP53</f>
        <v>70</v>
      </c>
      <c r="I51" s="20">
        <f>[1]作业统计!BB53</f>
        <v>70</v>
      </c>
      <c r="J51" s="21">
        <f t="shared" si="3"/>
        <v>80</v>
      </c>
    </row>
    <row r="52" spans="1:10">
      <c r="A52" s="20" t="str">
        <f>[1]作业统计!B54</f>
        <v>2022210430</v>
      </c>
      <c r="B52" s="20" t="str">
        <f>[1]作业统计!A54</f>
        <v>宗梦晴</v>
      </c>
      <c r="C52" s="20">
        <f>[1]作业统计!F54</f>
        <v>100</v>
      </c>
      <c r="D52" s="20">
        <f>[1]作业统计!O54</f>
        <v>95</v>
      </c>
      <c r="E52" s="20">
        <f>[1]作业统计!X54</f>
        <v>70</v>
      </c>
      <c r="F52" s="20">
        <f>[1]作业统计!AG54</f>
        <v>100</v>
      </c>
      <c r="G52" s="20">
        <f>[1]作业统计!AM54</f>
        <v>90</v>
      </c>
      <c r="H52" s="20">
        <f>[1]作业统计!AP54</f>
        <v>80</v>
      </c>
      <c r="I52" s="20">
        <f>[1]作业统计!BB54</f>
        <v>70</v>
      </c>
      <c r="J52" s="21">
        <f t="shared" si="3"/>
        <v>86.4285714285714</v>
      </c>
    </row>
  </sheetData>
  <mergeCells count="1">
    <mergeCell ref="A1:J1"/>
  </mergeCells>
  <printOptions horizontalCentered="1" verticalCentered="1"/>
  <pageMargins left="0.751388888888889" right="0.751388888888889" top="1" bottom="1" header="0.5" footer="0.5"/>
  <pageSetup paperSize="9" scale="90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2"/>
  <sheetViews>
    <sheetView workbookViewId="0">
      <selection activeCell="F20" sqref="F20"/>
    </sheetView>
  </sheetViews>
  <sheetFormatPr defaultColWidth="8.88888888888889" defaultRowHeight="14.4" outlineLevelCol="7"/>
  <cols>
    <col min="1" max="1" width="13.5555555555556" customWidth="1"/>
    <col min="8" max="8" width="8.11111111111111" customWidth="1"/>
  </cols>
  <sheetData>
    <row r="1" spans="1:8">
      <c r="A1" s="11" t="s">
        <v>146</v>
      </c>
      <c r="B1" s="11"/>
      <c r="C1" s="11"/>
      <c r="D1" s="11"/>
      <c r="E1" s="11"/>
      <c r="F1" s="11"/>
      <c r="G1" s="11"/>
      <c r="H1" s="11"/>
    </row>
    <row r="2" ht="28.8" spans="1:8">
      <c r="A2" s="12" t="s">
        <v>1</v>
      </c>
      <c r="B2" s="12" t="s">
        <v>2</v>
      </c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2" t="s">
        <v>152</v>
      </c>
    </row>
    <row r="3" spans="1:8">
      <c r="A3" s="14" t="s">
        <v>15</v>
      </c>
      <c r="B3" s="15" t="s">
        <v>16</v>
      </c>
      <c r="C3" s="16">
        <v>76</v>
      </c>
      <c r="D3" s="16">
        <v>71</v>
      </c>
      <c r="E3" s="16">
        <v>72</v>
      </c>
      <c r="F3" s="17">
        <v>68</v>
      </c>
      <c r="G3" s="18">
        <f t="shared" ref="G3:G10" si="0">C3*0.3+D3*0.2+E3*0.2+F3*0.3</f>
        <v>71.8</v>
      </c>
      <c r="H3" s="8">
        <v>71.8</v>
      </c>
    </row>
    <row r="4" spans="1:8">
      <c r="A4" s="14" t="s">
        <v>17</v>
      </c>
      <c r="B4" s="15" t="s">
        <v>18</v>
      </c>
      <c r="C4" s="16">
        <v>76</v>
      </c>
      <c r="D4" s="16">
        <v>70</v>
      </c>
      <c r="E4" s="16">
        <v>50</v>
      </c>
      <c r="F4" s="17">
        <v>80</v>
      </c>
      <c r="G4" s="18">
        <f t="shared" si="0"/>
        <v>70.8</v>
      </c>
      <c r="H4" s="8">
        <v>70.8</v>
      </c>
    </row>
    <row r="5" spans="1:8">
      <c r="A5" s="14" t="s">
        <v>19</v>
      </c>
      <c r="B5" s="15" t="s">
        <v>20</v>
      </c>
      <c r="C5" s="16">
        <v>62</v>
      </c>
      <c r="D5" s="16">
        <v>50</v>
      </c>
      <c r="E5" s="16">
        <v>50</v>
      </c>
      <c r="F5" s="17">
        <v>60</v>
      </c>
      <c r="G5" s="18">
        <f t="shared" si="0"/>
        <v>56.6</v>
      </c>
      <c r="H5" s="8">
        <v>56.6</v>
      </c>
    </row>
    <row r="6" spans="1:8">
      <c r="A6" s="14" t="s">
        <v>21</v>
      </c>
      <c r="B6" s="15" t="s">
        <v>22</v>
      </c>
      <c r="C6" s="16">
        <v>92</v>
      </c>
      <c r="D6" s="16">
        <v>91</v>
      </c>
      <c r="E6" s="16">
        <v>92</v>
      </c>
      <c r="F6" s="17">
        <v>87</v>
      </c>
      <c r="G6" s="18">
        <f t="shared" si="0"/>
        <v>90.3</v>
      </c>
      <c r="H6" s="8">
        <v>90.3</v>
      </c>
    </row>
    <row r="7" spans="1:8">
      <c r="A7" s="14" t="s">
        <v>23</v>
      </c>
      <c r="B7" s="15" t="s">
        <v>24</v>
      </c>
      <c r="C7" s="16">
        <v>92</v>
      </c>
      <c r="D7" s="16">
        <v>91</v>
      </c>
      <c r="E7" s="16">
        <v>92</v>
      </c>
      <c r="F7" s="17">
        <v>93</v>
      </c>
      <c r="G7" s="18">
        <f t="shared" si="0"/>
        <v>92.1</v>
      </c>
      <c r="H7" s="8">
        <v>92.1</v>
      </c>
    </row>
    <row r="8" spans="1:8">
      <c r="A8" s="14" t="s">
        <v>25</v>
      </c>
      <c r="B8" s="15" t="s">
        <v>26</v>
      </c>
      <c r="C8" s="16">
        <v>78</v>
      </c>
      <c r="D8" s="16">
        <v>78</v>
      </c>
      <c r="E8" s="16">
        <v>86</v>
      </c>
      <c r="F8" s="17">
        <v>87</v>
      </c>
      <c r="G8" s="18">
        <f t="shared" si="0"/>
        <v>82.3</v>
      </c>
      <c r="H8" s="8">
        <v>82.3</v>
      </c>
    </row>
    <row r="9" spans="1:8">
      <c r="A9" s="14" t="s">
        <v>27</v>
      </c>
      <c r="B9" s="15" t="s">
        <v>28</v>
      </c>
      <c r="C9" s="16">
        <v>50</v>
      </c>
      <c r="D9" s="16">
        <v>50</v>
      </c>
      <c r="E9" s="16">
        <v>70</v>
      </c>
      <c r="F9" s="17">
        <v>62.7</v>
      </c>
      <c r="G9" s="18">
        <f t="shared" si="0"/>
        <v>57.81</v>
      </c>
      <c r="H9" s="8">
        <v>57.81</v>
      </c>
    </row>
    <row r="10" spans="1:8">
      <c r="A10" s="14" t="s">
        <v>29</v>
      </c>
      <c r="B10" s="15" t="s">
        <v>30</v>
      </c>
      <c r="C10" s="16">
        <v>88</v>
      </c>
      <c r="D10" s="16">
        <v>80</v>
      </c>
      <c r="E10" s="16">
        <v>90</v>
      </c>
      <c r="F10" s="17">
        <v>74</v>
      </c>
      <c r="G10" s="18">
        <f t="shared" si="0"/>
        <v>82.6</v>
      </c>
      <c r="H10" s="8">
        <v>82.6</v>
      </c>
    </row>
    <row r="11" spans="1:8">
      <c r="A11" s="14" t="s">
        <v>31</v>
      </c>
      <c r="B11" s="15" t="s">
        <v>32</v>
      </c>
      <c r="C11" s="16">
        <v>0</v>
      </c>
      <c r="D11" s="16">
        <v>0</v>
      </c>
      <c r="E11" s="16">
        <v>0</v>
      </c>
      <c r="F11" s="17">
        <v>0</v>
      </c>
      <c r="G11" s="18">
        <v>0</v>
      </c>
      <c r="H11" s="8">
        <v>0</v>
      </c>
    </row>
    <row r="12" spans="1:8">
      <c r="A12" s="14" t="s">
        <v>33</v>
      </c>
      <c r="B12" s="15" t="s">
        <v>34</v>
      </c>
      <c r="C12" s="16">
        <v>80</v>
      </c>
      <c r="D12" s="16">
        <v>70</v>
      </c>
      <c r="E12" s="16">
        <v>72</v>
      </c>
      <c r="F12" s="17">
        <v>78</v>
      </c>
      <c r="G12" s="18">
        <f t="shared" ref="G12:G42" si="1">C12*0.3+D12*0.2+E12*0.2+F12*0.3</f>
        <v>75.8</v>
      </c>
      <c r="H12" s="8">
        <v>75.8</v>
      </c>
    </row>
    <row r="13" spans="1:8">
      <c r="A13" s="14" t="s">
        <v>35</v>
      </c>
      <c r="B13" s="15" t="s">
        <v>36</v>
      </c>
      <c r="C13" s="16">
        <v>94</v>
      </c>
      <c r="D13" s="16">
        <v>92</v>
      </c>
      <c r="E13" s="16">
        <v>94</v>
      </c>
      <c r="F13" s="17">
        <v>84.7</v>
      </c>
      <c r="G13" s="18">
        <f t="shared" si="1"/>
        <v>90.81</v>
      </c>
      <c r="H13" s="8">
        <v>90.81</v>
      </c>
    </row>
    <row r="14" spans="1:8">
      <c r="A14" s="14" t="s">
        <v>37</v>
      </c>
      <c r="B14" s="15" t="s">
        <v>38</v>
      </c>
      <c r="C14" s="16">
        <v>90</v>
      </c>
      <c r="D14" s="16">
        <v>90</v>
      </c>
      <c r="E14" s="16">
        <v>94</v>
      </c>
      <c r="F14" s="17">
        <v>90</v>
      </c>
      <c r="G14" s="18">
        <f t="shared" si="1"/>
        <v>90.8</v>
      </c>
      <c r="H14" s="8">
        <v>90.8</v>
      </c>
    </row>
    <row r="15" spans="1:8">
      <c r="A15" s="14" t="s">
        <v>39</v>
      </c>
      <c r="B15" s="15" t="s">
        <v>40</v>
      </c>
      <c r="C15" s="16">
        <v>80</v>
      </c>
      <c r="D15" s="16">
        <v>70</v>
      </c>
      <c r="E15" s="16">
        <v>70</v>
      </c>
      <c r="F15" s="17">
        <v>83.3</v>
      </c>
      <c r="G15" s="18">
        <f t="shared" si="1"/>
        <v>76.99</v>
      </c>
      <c r="H15" s="8">
        <v>76.99</v>
      </c>
    </row>
    <row r="16" spans="1:8">
      <c r="A16" s="14" t="s">
        <v>41</v>
      </c>
      <c r="B16" s="15" t="s">
        <v>42</v>
      </c>
      <c r="C16" s="16">
        <v>90</v>
      </c>
      <c r="D16" s="16">
        <v>90</v>
      </c>
      <c r="E16" s="16">
        <v>90</v>
      </c>
      <c r="F16" s="17">
        <v>93</v>
      </c>
      <c r="G16" s="18">
        <f t="shared" si="1"/>
        <v>90.9</v>
      </c>
      <c r="H16" s="8">
        <v>90.9</v>
      </c>
    </row>
    <row r="17" spans="1:8">
      <c r="A17" s="14" t="s">
        <v>43</v>
      </c>
      <c r="B17" s="15" t="s">
        <v>44</v>
      </c>
      <c r="C17" s="16">
        <v>86</v>
      </c>
      <c r="D17" s="16">
        <v>84</v>
      </c>
      <c r="E17" s="16">
        <v>88</v>
      </c>
      <c r="F17" s="17">
        <v>80</v>
      </c>
      <c r="G17" s="18">
        <f t="shared" si="1"/>
        <v>84.2</v>
      </c>
      <c r="H17" s="8">
        <v>84.2</v>
      </c>
    </row>
    <row r="18" spans="1:8">
      <c r="A18" s="14" t="s">
        <v>45</v>
      </c>
      <c r="B18" s="15" t="s">
        <v>46</v>
      </c>
      <c r="C18" s="16">
        <v>80</v>
      </c>
      <c r="D18" s="16">
        <v>76</v>
      </c>
      <c r="E18" s="16">
        <v>80</v>
      </c>
      <c r="F18" s="17">
        <v>82</v>
      </c>
      <c r="G18" s="18">
        <f t="shared" si="1"/>
        <v>79.8</v>
      </c>
      <c r="H18" s="8">
        <v>79.8</v>
      </c>
    </row>
    <row r="19" spans="1:8">
      <c r="A19" s="14" t="s">
        <v>47</v>
      </c>
      <c r="B19" s="15" t="s">
        <v>48</v>
      </c>
      <c r="C19" s="16">
        <v>78</v>
      </c>
      <c r="D19" s="16">
        <v>76</v>
      </c>
      <c r="E19" s="16">
        <v>80</v>
      </c>
      <c r="F19" s="17">
        <v>84</v>
      </c>
      <c r="G19" s="18">
        <f t="shared" si="1"/>
        <v>79.8</v>
      </c>
      <c r="H19" s="8">
        <v>79.8</v>
      </c>
    </row>
    <row r="20" spans="1:8">
      <c r="A20" s="14" t="s">
        <v>49</v>
      </c>
      <c r="B20" s="15" t="s">
        <v>50</v>
      </c>
      <c r="C20" s="16">
        <v>80</v>
      </c>
      <c r="D20" s="16">
        <v>70</v>
      </c>
      <c r="E20" s="16">
        <v>80</v>
      </c>
      <c r="F20" s="17">
        <v>83.3</v>
      </c>
      <c r="G20" s="18">
        <f t="shared" si="1"/>
        <v>78.99</v>
      </c>
      <c r="H20" s="8">
        <v>78.99</v>
      </c>
    </row>
    <row r="21" spans="1:8">
      <c r="A21" s="14" t="s">
        <v>51</v>
      </c>
      <c r="B21" s="15" t="s">
        <v>52</v>
      </c>
      <c r="C21" s="16">
        <v>70</v>
      </c>
      <c r="D21" s="16">
        <v>70</v>
      </c>
      <c r="E21" s="16">
        <v>68</v>
      </c>
      <c r="F21" s="17">
        <v>74</v>
      </c>
      <c r="G21" s="18">
        <f t="shared" si="1"/>
        <v>70.8</v>
      </c>
      <c r="H21" s="8">
        <v>70.8</v>
      </c>
    </row>
    <row r="22" spans="1:8">
      <c r="A22" s="14" t="s">
        <v>53</v>
      </c>
      <c r="B22" s="15" t="s">
        <v>54</v>
      </c>
      <c r="C22" s="16">
        <v>90</v>
      </c>
      <c r="D22" s="16">
        <v>88</v>
      </c>
      <c r="E22" s="16">
        <v>93</v>
      </c>
      <c r="F22" s="17">
        <v>90.7</v>
      </c>
      <c r="G22" s="18">
        <f t="shared" si="1"/>
        <v>90.41</v>
      </c>
      <c r="H22" s="8">
        <v>90.41</v>
      </c>
    </row>
    <row r="23" spans="1:8">
      <c r="A23" s="14" t="s">
        <v>55</v>
      </c>
      <c r="B23" s="15" t="s">
        <v>56</v>
      </c>
      <c r="C23" s="16">
        <v>70</v>
      </c>
      <c r="D23" s="16">
        <v>70</v>
      </c>
      <c r="E23" s="16">
        <v>64</v>
      </c>
      <c r="F23" s="17">
        <v>60</v>
      </c>
      <c r="G23" s="18">
        <f t="shared" si="1"/>
        <v>65.8</v>
      </c>
      <c r="H23" s="8">
        <v>65.8</v>
      </c>
    </row>
    <row r="24" spans="1:8">
      <c r="A24" s="14" t="s">
        <v>58</v>
      </c>
      <c r="B24" s="15" t="s">
        <v>59</v>
      </c>
      <c r="C24" s="16">
        <v>90</v>
      </c>
      <c r="D24" s="16">
        <v>88</v>
      </c>
      <c r="E24" s="16">
        <v>92</v>
      </c>
      <c r="F24" s="17">
        <v>81</v>
      </c>
      <c r="G24" s="18">
        <f t="shared" si="1"/>
        <v>87.3</v>
      </c>
      <c r="H24" s="8">
        <v>87.3</v>
      </c>
    </row>
    <row r="25" spans="1:8">
      <c r="A25" s="14" t="s">
        <v>60</v>
      </c>
      <c r="B25" s="15" t="s">
        <v>61</v>
      </c>
      <c r="C25" s="16">
        <v>80</v>
      </c>
      <c r="D25" s="16">
        <v>80</v>
      </c>
      <c r="E25" s="16">
        <v>78</v>
      </c>
      <c r="F25" s="17">
        <v>72</v>
      </c>
      <c r="G25" s="18">
        <f t="shared" si="1"/>
        <v>77.2</v>
      </c>
      <c r="H25" s="8">
        <v>77.2</v>
      </c>
    </row>
    <row r="26" spans="1:8">
      <c r="A26" s="14" t="s">
        <v>62</v>
      </c>
      <c r="B26" s="15" t="s">
        <v>63</v>
      </c>
      <c r="C26" s="16">
        <v>70</v>
      </c>
      <c r="D26" s="16">
        <v>70</v>
      </c>
      <c r="E26" s="16">
        <v>76</v>
      </c>
      <c r="F26" s="17">
        <v>80</v>
      </c>
      <c r="G26" s="18">
        <f t="shared" si="1"/>
        <v>74.2</v>
      </c>
      <c r="H26" s="8">
        <v>74.2</v>
      </c>
    </row>
    <row r="27" spans="1:8">
      <c r="A27" s="14" t="s">
        <v>64</v>
      </c>
      <c r="B27" s="15" t="s">
        <v>65</v>
      </c>
      <c r="C27" s="16">
        <v>96</v>
      </c>
      <c r="D27" s="16">
        <v>94</v>
      </c>
      <c r="E27" s="16">
        <v>98</v>
      </c>
      <c r="F27" s="17">
        <v>94.7</v>
      </c>
      <c r="G27" s="18">
        <f t="shared" si="1"/>
        <v>95.61</v>
      </c>
      <c r="H27" s="8">
        <v>95.61</v>
      </c>
    </row>
    <row r="28" spans="1:8">
      <c r="A28" s="14" t="s">
        <v>66</v>
      </c>
      <c r="B28" s="15" t="s">
        <v>67</v>
      </c>
      <c r="C28" s="16">
        <v>67</v>
      </c>
      <c r="D28" s="16">
        <v>62</v>
      </c>
      <c r="E28" s="16">
        <v>62</v>
      </c>
      <c r="F28" s="17">
        <v>82</v>
      </c>
      <c r="G28" s="18">
        <f t="shared" si="1"/>
        <v>69.5</v>
      </c>
      <c r="H28" s="8">
        <v>69.5</v>
      </c>
    </row>
    <row r="29" spans="1:8">
      <c r="A29" s="14" t="s">
        <v>68</v>
      </c>
      <c r="B29" s="15" t="s">
        <v>69</v>
      </c>
      <c r="C29" s="16">
        <v>82</v>
      </c>
      <c r="D29" s="16">
        <v>80</v>
      </c>
      <c r="E29" s="16">
        <v>82</v>
      </c>
      <c r="F29" s="17">
        <v>67</v>
      </c>
      <c r="G29" s="18">
        <f t="shared" si="1"/>
        <v>77.1</v>
      </c>
      <c r="H29" s="8">
        <v>77.1</v>
      </c>
    </row>
    <row r="30" spans="1:8">
      <c r="A30" s="14" t="s">
        <v>70</v>
      </c>
      <c r="B30" s="15" t="s">
        <v>71</v>
      </c>
      <c r="C30" s="16">
        <v>80</v>
      </c>
      <c r="D30" s="16">
        <v>70</v>
      </c>
      <c r="E30" s="16">
        <v>68</v>
      </c>
      <c r="F30" s="17">
        <v>79.3</v>
      </c>
      <c r="G30" s="18">
        <f t="shared" si="1"/>
        <v>75.39</v>
      </c>
      <c r="H30" s="8">
        <v>75.39</v>
      </c>
    </row>
    <row r="31" spans="1:8">
      <c r="A31" s="14" t="s">
        <v>72</v>
      </c>
      <c r="B31" s="15" t="s">
        <v>73</v>
      </c>
      <c r="C31" s="16">
        <v>82</v>
      </c>
      <c r="D31" s="16">
        <v>78</v>
      </c>
      <c r="E31" s="16">
        <v>70</v>
      </c>
      <c r="F31" s="17">
        <v>68</v>
      </c>
      <c r="G31" s="18">
        <f t="shared" si="1"/>
        <v>74.6</v>
      </c>
      <c r="H31" s="8">
        <v>74.6</v>
      </c>
    </row>
    <row r="32" spans="1:8">
      <c r="A32" s="14" t="s">
        <v>74</v>
      </c>
      <c r="B32" s="15" t="s">
        <v>75</v>
      </c>
      <c r="C32" s="16">
        <v>80</v>
      </c>
      <c r="D32" s="16">
        <v>78</v>
      </c>
      <c r="E32" s="16">
        <v>78</v>
      </c>
      <c r="F32" s="17">
        <v>73</v>
      </c>
      <c r="G32" s="18">
        <f t="shared" si="1"/>
        <v>77.1</v>
      </c>
      <c r="H32" s="8">
        <v>77.1</v>
      </c>
    </row>
    <row r="33" spans="1:8">
      <c r="A33" s="14" t="s">
        <v>76</v>
      </c>
      <c r="B33" s="15" t="s">
        <v>77</v>
      </c>
      <c r="C33" s="16">
        <v>90</v>
      </c>
      <c r="D33" s="16">
        <v>88</v>
      </c>
      <c r="E33" s="16">
        <v>90</v>
      </c>
      <c r="F33" s="17">
        <v>89.7</v>
      </c>
      <c r="G33" s="18">
        <f t="shared" si="1"/>
        <v>89.51</v>
      </c>
      <c r="H33" s="8">
        <v>89.51</v>
      </c>
    </row>
    <row r="34" spans="1:8">
      <c r="A34" s="14" t="s">
        <v>78</v>
      </c>
      <c r="B34" s="15" t="s">
        <v>79</v>
      </c>
      <c r="C34" s="16">
        <v>66</v>
      </c>
      <c r="D34" s="16">
        <v>62</v>
      </c>
      <c r="E34" s="16">
        <v>62</v>
      </c>
      <c r="F34" s="17">
        <v>75</v>
      </c>
      <c r="G34" s="18">
        <f t="shared" si="1"/>
        <v>67.1</v>
      </c>
      <c r="H34" s="8">
        <v>67.1</v>
      </c>
    </row>
    <row r="35" spans="1:8">
      <c r="A35" s="14" t="s">
        <v>80</v>
      </c>
      <c r="B35" s="15" t="s">
        <v>81</v>
      </c>
      <c r="C35" s="16">
        <v>78</v>
      </c>
      <c r="D35" s="16">
        <v>76</v>
      </c>
      <c r="E35" s="16">
        <v>76</v>
      </c>
      <c r="F35" s="17">
        <v>73</v>
      </c>
      <c r="G35" s="18">
        <f t="shared" si="1"/>
        <v>75.7</v>
      </c>
      <c r="H35" s="8">
        <v>75.7</v>
      </c>
    </row>
    <row r="36" spans="1:8">
      <c r="A36" s="14" t="s">
        <v>82</v>
      </c>
      <c r="B36" s="15" t="s">
        <v>83</v>
      </c>
      <c r="C36" s="16">
        <v>88</v>
      </c>
      <c r="D36" s="16">
        <v>86</v>
      </c>
      <c r="E36" s="16">
        <v>84</v>
      </c>
      <c r="F36" s="17">
        <v>87</v>
      </c>
      <c r="G36" s="18">
        <f t="shared" si="1"/>
        <v>86.5</v>
      </c>
      <c r="H36" s="8">
        <v>86.5</v>
      </c>
    </row>
    <row r="37" spans="1:8">
      <c r="A37" s="14" t="s">
        <v>84</v>
      </c>
      <c r="B37" s="15" t="s">
        <v>85</v>
      </c>
      <c r="C37" s="16">
        <v>78</v>
      </c>
      <c r="D37" s="16">
        <v>76</v>
      </c>
      <c r="E37" s="16">
        <v>82</v>
      </c>
      <c r="F37" s="17">
        <v>88.3</v>
      </c>
      <c r="G37" s="18">
        <f t="shared" si="1"/>
        <v>81.49</v>
      </c>
      <c r="H37" s="8">
        <v>81.49</v>
      </c>
    </row>
    <row r="38" spans="1:8">
      <c r="A38" s="14" t="s">
        <v>86</v>
      </c>
      <c r="B38" s="15" t="s">
        <v>87</v>
      </c>
      <c r="C38" s="16">
        <v>94</v>
      </c>
      <c r="D38" s="16">
        <v>92</v>
      </c>
      <c r="E38" s="16">
        <v>96</v>
      </c>
      <c r="F38" s="17">
        <v>92</v>
      </c>
      <c r="G38" s="18">
        <f t="shared" si="1"/>
        <v>93.4</v>
      </c>
      <c r="H38" s="8">
        <v>93.4</v>
      </c>
    </row>
    <row r="39" spans="1:8">
      <c r="A39" s="14" t="s">
        <v>88</v>
      </c>
      <c r="B39" s="15" t="s">
        <v>89</v>
      </c>
      <c r="C39" s="16">
        <v>78</v>
      </c>
      <c r="D39" s="16">
        <v>76</v>
      </c>
      <c r="E39" s="16">
        <v>74</v>
      </c>
      <c r="F39" s="17">
        <v>79.3</v>
      </c>
      <c r="G39" s="18">
        <f t="shared" si="1"/>
        <v>77.19</v>
      </c>
      <c r="H39" s="8">
        <v>77.19</v>
      </c>
    </row>
    <row r="40" spans="1:8">
      <c r="A40" s="14" t="s">
        <v>90</v>
      </c>
      <c r="B40" s="15" t="s">
        <v>91</v>
      </c>
      <c r="C40" s="16">
        <v>92</v>
      </c>
      <c r="D40" s="16">
        <v>90</v>
      </c>
      <c r="E40" s="16">
        <v>88</v>
      </c>
      <c r="F40" s="17">
        <v>92</v>
      </c>
      <c r="G40" s="18">
        <f t="shared" si="1"/>
        <v>90.8</v>
      </c>
      <c r="H40" s="8">
        <v>90.8</v>
      </c>
    </row>
    <row r="41" spans="1:8">
      <c r="A41" s="14" t="s">
        <v>92</v>
      </c>
      <c r="B41" s="15" t="s">
        <v>93</v>
      </c>
      <c r="C41" s="16">
        <v>80</v>
      </c>
      <c r="D41" s="16">
        <v>70</v>
      </c>
      <c r="E41" s="16">
        <v>80</v>
      </c>
      <c r="F41" s="17">
        <v>50</v>
      </c>
      <c r="G41" s="18">
        <f t="shared" si="1"/>
        <v>69</v>
      </c>
      <c r="H41" s="8">
        <v>69</v>
      </c>
    </row>
    <row r="42" spans="1:8">
      <c r="A42" s="14" t="s">
        <v>94</v>
      </c>
      <c r="B42" s="15" t="s">
        <v>95</v>
      </c>
      <c r="C42" s="16">
        <v>78</v>
      </c>
      <c r="D42" s="16">
        <v>76</v>
      </c>
      <c r="E42" s="16">
        <v>80</v>
      </c>
      <c r="F42" s="17">
        <v>90</v>
      </c>
      <c r="G42" s="18">
        <f t="shared" si="1"/>
        <v>81.6</v>
      </c>
      <c r="H42" s="8">
        <v>81.6</v>
      </c>
    </row>
    <row r="43" spans="1:8">
      <c r="A43" s="14" t="s">
        <v>96</v>
      </c>
      <c r="B43" s="15" t="s">
        <v>97</v>
      </c>
      <c r="C43" s="16">
        <v>0</v>
      </c>
      <c r="D43" s="16">
        <v>0</v>
      </c>
      <c r="E43" s="16">
        <v>0</v>
      </c>
      <c r="F43" s="17">
        <v>0</v>
      </c>
      <c r="G43" s="18">
        <v>0</v>
      </c>
      <c r="H43" s="8">
        <v>0</v>
      </c>
    </row>
    <row r="44" spans="1:8">
      <c r="A44" s="14" t="s">
        <v>98</v>
      </c>
      <c r="B44" s="15" t="s">
        <v>99</v>
      </c>
      <c r="C44" s="16">
        <v>50</v>
      </c>
      <c r="D44" s="16">
        <v>50</v>
      </c>
      <c r="E44" s="16">
        <v>50</v>
      </c>
      <c r="F44" s="17">
        <v>60</v>
      </c>
      <c r="G44" s="18">
        <f t="shared" ref="G44:G52" si="2">C44*0.3+D44*0.2+E44*0.2+F44*0.3</f>
        <v>53</v>
      </c>
      <c r="H44" s="8">
        <v>53</v>
      </c>
    </row>
    <row r="45" spans="1:8">
      <c r="A45" s="14" t="s">
        <v>100</v>
      </c>
      <c r="B45" s="15" t="s">
        <v>101</v>
      </c>
      <c r="C45" s="16">
        <v>86</v>
      </c>
      <c r="D45" s="16">
        <v>82</v>
      </c>
      <c r="E45" s="16">
        <v>80</v>
      </c>
      <c r="F45" s="17">
        <v>81</v>
      </c>
      <c r="G45" s="18">
        <f t="shared" si="2"/>
        <v>82.5</v>
      </c>
      <c r="H45" s="8">
        <v>82.5</v>
      </c>
    </row>
    <row r="46" spans="1:8">
      <c r="A46" s="14" t="s">
        <v>102</v>
      </c>
      <c r="B46" s="15" t="s">
        <v>103</v>
      </c>
      <c r="C46" s="16">
        <v>64</v>
      </c>
      <c r="D46" s="16">
        <v>62</v>
      </c>
      <c r="E46" s="16">
        <v>68</v>
      </c>
      <c r="F46" s="17">
        <v>67.3</v>
      </c>
      <c r="G46" s="18">
        <f t="shared" si="2"/>
        <v>65.39</v>
      </c>
      <c r="H46" s="8">
        <v>65.39</v>
      </c>
    </row>
    <row r="47" spans="1:8">
      <c r="A47" s="14" t="s">
        <v>104</v>
      </c>
      <c r="B47" s="15" t="s">
        <v>105</v>
      </c>
      <c r="C47" s="16">
        <v>80</v>
      </c>
      <c r="D47" s="16">
        <v>78</v>
      </c>
      <c r="E47" s="16">
        <v>78</v>
      </c>
      <c r="F47" s="17">
        <v>70</v>
      </c>
      <c r="G47" s="18">
        <f t="shared" si="2"/>
        <v>76.2</v>
      </c>
      <c r="H47" s="8">
        <v>76.2</v>
      </c>
    </row>
    <row r="48" spans="1:8">
      <c r="A48" s="14" t="s">
        <v>106</v>
      </c>
      <c r="B48" s="15" t="s">
        <v>107</v>
      </c>
      <c r="C48" s="16">
        <v>80</v>
      </c>
      <c r="D48" s="16">
        <v>70</v>
      </c>
      <c r="E48" s="16">
        <v>76</v>
      </c>
      <c r="F48" s="17">
        <v>76.7</v>
      </c>
      <c r="G48" s="18">
        <f t="shared" si="2"/>
        <v>76.21</v>
      </c>
      <c r="H48" s="8">
        <v>76.21</v>
      </c>
    </row>
    <row r="49" spans="1:8">
      <c r="A49" s="14" t="s">
        <v>108</v>
      </c>
      <c r="B49" s="15" t="s">
        <v>109</v>
      </c>
      <c r="C49" s="16">
        <v>60</v>
      </c>
      <c r="D49" s="16">
        <v>60</v>
      </c>
      <c r="E49" s="16">
        <v>50</v>
      </c>
      <c r="F49" s="17">
        <v>60</v>
      </c>
      <c r="G49" s="18">
        <f t="shared" si="2"/>
        <v>58</v>
      </c>
      <c r="H49" s="8">
        <v>58</v>
      </c>
    </row>
    <row r="50" spans="1:8">
      <c r="A50" s="14" t="s">
        <v>110</v>
      </c>
      <c r="B50" s="15" t="s">
        <v>111</v>
      </c>
      <c r="C50" s="16">
        <v>78</v>
      </c>
      <c r="D50" s="16">
        <v>76</v>
      </c>
      <c r="E50" s="16">
        <v>78</v>
      </c>
      <c r="F50" s="17">
        <v>77</v>
      </c>
      <c r="G50" s="18">
        <f t="shared" si="2"/>
        <v>77.3</v>
      </c>
      <c r="H50" s="8">
        <v>77.3</v>
      </c>
    </row>
    <row r="51" spans="1:8">
      <c r="A51" s="14" t="s">
        <v>112</v>
      </c>
      <c r="B51" s="15" t="s">
        <v>113</v>
      </c>
      <c r="C51" s="16">
        <v>76</v>
      </c>
      <c r="D51" s="16">
        <v>74</v>
      </c>
      <c r="E51" s="16">
        <v>60</v>
      </c>
      <c r="F51" s="17">
        <v>60</v>
      </c>
      <c r="G51" s="18">
        <f t="shared" si="2"/>
        <v>67.6</v>
      </c>
      <c r="H51" s="8">
        <v>67.6</v>
      </c>
    </row>
    <row r="52" spans="1:8">
      <c r="A52" s="14" t="s">
        <v>114</v>
      </c>
      <c r="B52" s="15" t="s">
        <v>115</v>
      </c>
      <c r="C52" s="16">
        <v>92</v>
      </c>
      <c r="D52" s="16">
        <v>92</v>
      </c>
      <c r="E52" s="16">
        <v>94</v>
      </c>
      <c r="F52" s="17">
        <v>90</v>
      </c>
      <c r="G52" s="18">
        <f t="shared" si="2"/>
        <v>91.8</v>
      </c>
      <c r="H52" s="8">
        <v>91.8</v>
      </c>
    </row>
  </sheetData>
  <mergeCells count="1">
    <mergeCell ref="A1:H1"/>
  </mergeCells>
  <printOptions horizontalCentered="1" verticalCentered="1"/>
  <pageMargins left="0.751388888888889" right="0.751388888888889" top="1" bottom="1" header="0.5" footer="0.5"/>
  <pageSetup paperSize="9" scale="97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3"/>
  <sheetViews>
    <sheetView workbookViewId="0">
      <selection activeCell="I53" sqref="I53"/>
    </sheetView>
  </sheetViews>
  <sheetFormatPr defaultColWidth="8.88888888888889" defaultRowHeight="14.4"/>
  <cols>
    <col min="1" max="1" width="13.6666666666667" customWidth="1"/>
    <col min="4" max="4" width="10.6666666666667" customWidth="1"/>
    <col min="6" max="6" width="6.55555555555556" customWidth="1"/>
    <col min="8" max="8" width="9.88888888888889" customWidth="1"/>
    <col min="9" max="9" width="9.22222222222222" customWidth="1"/>
  </cols>
  <sheetData>
    <row r="1" ht="24" customHeight="1" spans="1:9">
      <c r="A1" s="1" t="s">
        <v>153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3" t="s">
        <v>154</v>
      </c>
      <c r="D2" s="3"/>
      <c r="E2" s="3"/>
      <c r="F2" s="3"/>
      <c r="G2" s="4" t="s">
        <v>155</v>
      </c>
      <c r="H2" s="4" t="s">
        <v>156</v>
      </c>
      <c r="I2" s="3" t="s">
        <v>157</v>
      </c>
    </row>
    <row r="3" ht="42" customHeight="1" spans="1:9">
      <c r="A3" s="2"/>
      <c r="B3" s="2"/>
      <c r="C3" s="4" t="s">
        <v>158</v>
      </c>
      <c r="D3" s="4" t="s">
        <v>159</v>
      </c>
      <c r="E3" s="4" t="s">
        <v>160</v>
      </c>
      <c r="F3" s="4" t="s">
        <v>161</v>
      </c>
      <c r="G3" s="4"/>
      <c r="H3" s="4"/>
      <c r="I3" s="3"/>
    </row>
    <row r="4" spans="1:9">
      <c r="A4" s="5" t="s">
        <v>15</v>
      </c>
      <c r="B4" s="6" t="s">
        <v>16</v>
      </c>
      <c r="C4" s="7">
        <v>64</v>
      </c>
      <c r="D4" s="8">
        <v>73.3333333333333</v>
      </c>
      <c r="E4" s="7">
        <v>70</v>
      </c>
      <c r="F4" s="8">
        <f>C4*0.2+D4*0.5+E4*0.3</f>
        <v>70.4666666666667</v>
      </c>
      <c r="G4" s="8">
        <v>78.5714285714286</v>
      </c>
      <c r="H4" s="8">
        <v>71.8</v>
      </c>
      <c r="I4" s="9">
        <f>F4*0.2+H4*0.5+G4*0.3</f>
        <v>73.5647619047619</v>
      </c>
    </row>
    <row r="5" spans="1:9">
      <c r="A5" s="5" t="s">
        <v>17</v>
      </c>
      <c r="B5" s="6" t="s">
        <v>18</v>
      </c>
      <c r="C5" s="7">
        <v>81</v>
      </c>
      <c r="D5" s="8">
        <v>67.7777777777778</v>
      </c>
      <c r="E5" s="7">
        <v>99</v>
      </c>
      <c r="F5" s="8">
        <f t="shared" ref="F5:F36" si="0">C5*0.2+D5*0.5+E5*0.3</f>
        <v>79.7888888888889</v>
      </c>
      <c r="G5" s="8">
        <v>82.8571428571429</v>
      </c>
      <c r="H5" s="8">
        <v>70.8</v>
      </c>
      <c r="I5" s="9">
        <f t="shared" ref="I5:I36" si="1">F5*0.2+H5*0.5+G5*0.3</f>
        <v>76.2149206349207</v>
      </c>
    </row>
    <row r="6" spans="1:9">
      <c r="A6" s="5" t="s">
        <v>19</v>
      </c>
      <c r="B6" s="6" t="s">
        <v>20</v>
      </c>
      <c r="C6" s="7">
        <v>89</v>
      </c>
      <c r="D6" s="8">
        <v>81.1111111111111</v>
      </c>
      <c r="E6" s="7">
        <v>96</v>
      </c>
      <c r="F6" s="8">
        <f t="shared" si="0"/>
        <v>87.1555555555556</v>
      </c>
      <c r="G6" s="8">
        <v>87.1428571428571</v>
      </c>
      <c r="H6" s="8">
        <v>56.6</v>
      </c>
      <c r="I6" s="9">
        <f t="shared" si="1"/>
        <v>71.8739682539682</v>
      </c>
    </row>
    <row r="7" spans="1:9">
      <c r="A7" s="5" t="s">
        <v>21</v>
      </c>
      <c r="B7" s="6" t="s">
        <v>22</v>
      </c>
      <c r="C7" s="7">
        <v>89</v>
      </c>
      <c r="D7" s="8">
        <v>88.8888888888889</v>
      </c>
      <c r="E7" s="7">
        <v>100</v>
      </c>
      <c r="F7" s="8">
        <f t="shared" si="0"/>
        <v>92.2444444444445</v>
      </c>
      <c r="G7" s="8">
        <v>85.7142857142857</v>
      </c>
      <c r="H7" s="8">
        <v>90.3</v>
      </c>
      <c r="I7" s="9">
        <f t="shared" si="1"/>
        <v>89.3131746031746</v>
      </c>
    </row>
    <row r="8" spans="1:9">
      <c r="A8" s="5" t="s">
        <v>23</v>
      </c>
      <c r="B8" s="6" t="s">
        <v>24</v>
      </c>
      <c r="C8" s="7">
        <v>81</v>
      </c>
      <c r="D8" s="8">
        <v>90</v>
      </c>
      <c r="E8" s="7">
        <v>85</v>
      </c>
      <c r="F8" s="8">
        <f t="shared" si="0"/>
        <v>86.7</v>
      </c>
      <c r="G8" s="8">
        <v>79.2857142857143</v>
      </c>
      <c r="H8" s="8">
        <v>92.1</v>
      </c>
      <c r="I8" s="9">
        <f t="shared" si="1"/>
        <v>87.1757142857143</v>
      </c>
    </row>
    <row r="9" spans="1:9">
      <c r="A9" s="5" t="s">
        <v>25</v>
      </c>
      <c r="B9" s="6" t="s">
        <v>26</v>
      </c>
      <c r="C9" s="7">
        <v>89</v>
      </c>
      <c r="D9" s="8">
        <v>83.3333333333333</v>
      </c>
      <c r="E9" s="7">
        <v>99</v>
      </c>
      <c r="F9" s="8">
        <f t="shared" si="0"/>
        <v>89.1666666666667</v>
      </c>
      <c r="G9" s="8">
        <v>88.5714285714286</v>
      </c>
      <c r="H9" s="8">
        <v>82.3</v>
      </c>
      <c r="I9" s="9">
        <f t="shared" si="1"/>
        <v>85.5547619047619</v>
      </c>
    </row>
    <row r="10" spans="1:9">
      <c r="A10" s="5" t="s">
        <v>27</v>
      </c>
      <c r="B10" s="6" t="s">
        <v>28</v>
      </c>
      <c r="C10" s="7">
        <v>81</v>
      </c>
      <c r="D10" s="8">
        <v>77.7777777777778</v>
      </c>
      <c r="E10" s="7">
        <v>86</v>
      </c>
      <c r="F10" s="8">
        <f t="shared" si="0"/>
        <v>80.8888888888889</v>
      </c>
      <c r="G10" s="8">
        <v>84.2857142857143</v>
      </c>
      <c r="H10" s="8">
        <v>57.81</v>
      </c>
      <c r="I10" s="9">
        <f t="shared" si="1"/>
        <v>70.3684920634921</v>
      </c>
    </row>
    <row r="11" spans="1:9">
      <c r="A11" s="5" t="s">
        <v>29</v>
      </c>
      <c r="B11" s="6" t="s">
        <v>30</v>
      </c>
      <c r="C11" s="7">
        <v>89</v>
      </c>
      <c r="D11" s="8">
        <v>81.1111111111111</v>
      </c>
      <c r="E11" s="7">
        <v>94</v>
      </c>
      <c r="F11" s="8">
        <f t="shared" si="0"/>
        <v>86.5555555555556</v>
      </c>
      <c r="G11" s="8">
        <v>82.1428571428571</v>
      </c>
      <c r="H11" s="8">
        <v>82.6</v>
      </c>
      <c r="I11" s="9">
        <f t="shared" si="1"/>
        <v>83.2539682539682</v>
      </c>
    </row>
    <row r="12" spans="1:9">
      <c r="A12" s="5" t="s">
        <v>31</v>
      </c>
      <c r="B12" s="6" t="s">
        <v>32</v>
      </c>
      <c r="C12" s="7">
        <v>0</v>
      </c>
      <c r="D12" s="8">
        <v>0</v>
      </c>
      <c r="E12" s="7">
        <v>16</v>
      </c>
      <c r="F12" s="8">
        <f t="shared" si="0"/>
        <v>4.8</v>
      </c>
      <c r="G12" s="8">
        <v>0</v>
      </c>
      <c r="H12" s="10" t="s">
        <v>162</v>
      </c>
      <c r="I12" s="9">
        <v>1</v>
      </c>
    </row>
    <row r="13" spans="1:9">
      <c r="A13" s="5" t="s">
        <v>33</v>
      </c>
      <c r="B13" s="6" t="s">
        <v>34</v>
      </c>
      <c r="C13" s="7">
        <v>89</v>
      </c>
      <c r="D13" s="8">
        <v>78.8888888888889</v>
      </c>
      <c r="E13" s="7">
        <v>97</v>
      </c>
      <c r="F13" s="8">
        <f t="shared" si="0"/>
        <v>86.3444444444444</v>
      </c>
      <c r="G13" s="8">
        <v>81.4285714285714</v>
      </c>
      <c r="H13" s="8">
        <v>75.8</v>
      </c>
      <c r="I13" s="9">
        <f t="shared" si="1"/>
        <v>79.5974603174603</v>
      </c>
    </row>
    <row r="14" spans="1:9">
      <c r="A14" s="5" t="s">
        <v>35</v>
      </c>
      <c r="B14" s="6" t="s">
        <v>36</v>
      </c>
      <c r="C14" s="7">
        <v>81</v>
      </c>
      <c r="D14" s="8">
        <v>78.8888888888889</v>
      </c>
      <c r="E14" s="7">
        <v>94</v>
      </c>
      <c r="F14" s="8">
        <f t="shared" si="0"/>
        <v>83.8444444444444</v>
      </c>
      <c r="G14" s="8">
        <v>90.7142857142857</v>
      </c>
      <c r="H14" s="8">
        <v>90.81</v>
      </c>
      <c r="I14" s="9">
        <f t="shared" si="1"/>
        <v>89.3881746031746</v>
      </c>
    </row>
    <row r="15" spans="1:9">
      <c r="A15" s="5" t="s">
        <v>37</v>
      </c>
      <c r="B15" s="6" t="s">
        <v>38</v>
      </c>
      <c r="C15" s="7">
        <v>89</v>
      </c>
      <c r="D15" s="8">
        <v>85.5555555555556</v>
      </c>
      <c r="E15" s="7">
        <v>100</v>
      </c>
      <c r="F15" s="8">
        <f t="shared" si="0"/>
        <v>90.5777777777778</v>
      </c>
      <c r="G15" s="8">
        <v>85</v>
      </c>
      <c r="H15" s="8">
        <v>90.8</v>
      </c>
      <c r="I15" s="9">
        <f t="shared" si="1"/>
        <v>89.0155555555556</v>
      </c>
    </row>
    <row r="16" spans="1:9">
      <c r="A16" s="5" t="s">
        <v>39</v>
      </c>
      <c r="B16" s="6" t="s">
        <v>40</v>
      </c>
      <c r="C16" s="7">
        <v>89</v>
      </c>
      <c r="D16" s="8">
        <v>80</v>
      </c>
      <c r="E16" s="7">
        <v>91</v>
      </c>
      <c r="F16" s="8">
        <f t="shared" si="0"/>
        <v>85.1</v>
      </c>
      <c r="G16" s="8">
        <v>82.8571428571429</v>
      </c>
      <c r="H16" s="8">
        <v>76.99</v>
      </c>
      <c r="I16" s="9">
        <f t="shared" si="1"/>
        <v>80.3721428571429</v>
      </c>
    </row>
    <row r="17" spans="1:9">
      <c r="A17" s="5" t="s">
        <v>41</v>
      </c>
      <c r="B17" s="6" t="s">
        <v>42</v>
      </c>
      <c r="C17" s="7">
        <v>81</v>
      </c>
      <c r="D17" s="8">
        <v>81.1111111111111</v>
      </c>
      <c r="E17" s="7">
        <v>92</v>
      </c>
      <c r="F17" s="8">
        <f t="shared" si="0"/>
        <v>84.3555555555555</v>
      </c>
      <c r="G17" s="8">
        <v>89.2857142857143</v>
      </c>
      <c r="H17" s="8">
        <v>90.9</v>
      </c>
      <c r="I17" s="9">
        <f t="shared" si="1"/>
        <v>89.1068253968254</v>
      </c>
    </row>
    <row r="18" spans="1:9">
      <c r="A18" s="5" t="s">
        <v>43</v>
      </c>
      <c r="B18" s="6" t="s">
        <v>44</v>
      </c>
      <c r="C18" s="7">
        <v>81</v>
      </c>
      <c r="D18" s="8">
        <v>84.4444444444444</v>
      </c>
      <c r="E18" s="7">
        <v>99</v>
      </c>
      <c r="F18" s="8">
        <f t="shared" si="0"/>
        <v>88.1222222222222</v>
      </c>
      <c r="G18" s="8">
        <v>87.8571428571429</v>
      </c>
      <c r="H18" s="8">
        <v>84.2</v>
      </c>
      <c r="I18" s="9">
        <f t="shared" si="1"/>
        <v>86.0815873015873</v>
      </c>
    </row>
    <row r="19" spans="1:9">
      <c r="A19" s="5" t="s">
        <v>45</v>
      </c>
      <c r="B19" s="6" t="s">
        <v>46</v>
      </c>
      <c r="C19" s="7">
        <v>81</v>
      </c>
      <c r="D19" s="8">
        <v>86.6666666666667</v>
      </c>
      <c r="E19" s="7">
        <v>94</v>
      </c>
      <c r="F19" s="8">
        <f t="shared" si="0"/>
        <v>87.7333333333333</v>
      </c>
      <c r="G19" s="8">
        <v>81.4285714285714</v>
      </c>
      <c r="H19" s="8">
        <v>79.8</v>
      </c>
      <c r="I19" s="9">
        <f t="shared" si="1"/>
        <v>81.8752380952381</v>
      </c>
    </row>
    <row r="20" spans="1:9">
      <c r="A20" s="5" t="s">
        <v>47</v>
      </c>
      <c r="B20" s="6" t="s">
        <v>48</v>
      </c>
      <c r="C20" s="7">
        <v>89</v>
      </c>
      <c r="D20" s="8">
        <v>85.5555555555556</v>
      </c>
      <c r="E20" s="7">
        <v>95</v>
      </c>
      <c r="F20" s="8">
        <f t="shared" si="0"/>
        <v>89.0777777777778</v>
      </c>
      <c r="G20" s="8">
        <v>88.5714285714286</v>
      </c>
      <c r="H20" s="8">
        <v>79.8</v>
      </c>
      <c r="I20" s="9">
        <f t="shared" si="1"/>
        <v>84.2869841269841</v>
      </c>
    </row>
    <row r="21" spans="1:9">
      <c r="A21" s="5" t="s">
        <v>49</v>
      </c>
      <c r="B21" s="6" t="s">
        <v>50</v>
      </c>
      <c r="C21" s="7">
        <v>55</v>
      </c>
      <c r="D21" s="8">
        <v>63.3333333333333</v>
      </c>
      <c r="E21" s="7">
        <v>0</v>
      </c>
      <c r="F21" s="8">
        <f t="shared" si="0"/>
        <v>42.6666666666667</v>
      </c>
      <c r="G21" s="8">
        <v>0</v>
      </c>
      <c r="H21" s="8">
        <v>78.99</v>
      </c>
      <c r="I21" s="9">
        <f t="shared" si="1"/>
        <v>48.0283333333333</v>
      </c>
    </row>
    <row r="22" spans="1:9">
      <c r="A22" s="5" t="s">
        <v>51</v>
      </c>
      <c r="B22" s="6" t="s">
        <v>52</v>
      </c>
      <c r="C22" s="7">
        <v>89</v>
      </c>
      <c r="D22" s="8">
        <v>75.5555555555556</v>
      </c>
      <c r="E22" s="7">
        <v>90</v>
      </c>
      <c r="F22" s="8">
        <f t="shared" si="0"/>
        <v>82.5777777777778</v>
      </c>
      <c r="G22" s="8">
        <v>87.8571428571429</v>
      </c>
      <c r="H22" s="8">
        <v>70.8</v>
      </c>
      <c r="I22" s="9">
        <f t="shared" si="1"/>
        <v>78.2726984126984</v>
      </c>
    </row>
    <row r="23" spans="1:9">
      <c r="A23" s="5" t="s">
        <v>53</v>
      </c>
      <c r="B23" s="6" t="s">
        <v>54</v>
      </c>
      <c r="C23" s="7">
        <v>72</v>
      </c>
      <c r="D23" s="8">
        <v>76.6666666666667</v>
      </c>
      <c r="E23" s="7">
        <v>94</v>
      </c>
      <c r="F23" s="8">
        <f t="shared" si="0"/>
        <v>80.9333333333334</v>
      </c>
      <c r="G23" s="8">
        <v>83.3333333333333</v>
      </c>
      <c r="H23" s="8">
        <v>90.41</v>
      </c>
      <c r="I23" s="9">
        <f t="shared" si="1"/>
        <v>86.3916666666667</v>
      </c>
    </row>
    <row r="24" spans="1:9">
      <c r="A24" s="5" t="s">
        <v>55</v>
      </c>
      <c r="B24" s="6" t="s">
        <v>56</v>
      </c>
      <c r="C24" s="7">
        <v>55</v>
      </c>
      <c r="D24" s="8">
        <v>81.1111111111111</v>
      </c>
      <c r="E24" s="7">
        <v>90</v>
      </c>
      <c r="F24" s="8">
        <f t="shared" si="0"/>
        <v>78.5555555555555</v>
      </c>
      <c r="G24" s="8">
        <v>74.2857142857143</v>
      </c>
      <c r="H24" s="8">
        <v>65.8</v>
      </c>
      <c r="I24" s="9">
        <f t="shared" si="1"/>
        <v>70.8968253968254</v>
      </c>
    </row>
    <row r="25" spans="1:9">
      <c r="A25" s="5" t="s">
        <v>58</v>
      </c>
      <c r="B25" s="6" t="s">
        <v>59</v>
      </c>
      <c r="C25" s="7">
        <v>89</v>
      </c>
      <c r="D25" s="8">
        <v>73.3333333333333</v>
      </c>
      <c r="E25" s="7">
        <v>95</v>
      </c>
      <c r="F25" s="8">
        <f t="shared" si="0"/>
        <v>82.9666666666667</v>
      </c>
      <c r="G25" s="8">
        <v>80</v>
      </c>
      <c r="H25" s="8">
        <v>87.3</v>
      </c>
      <c r="I25" s="9">
        <f t="shared" si="1"/>
        <v>84.2433333333333</v>
      </c>
    </row>
    <row r="26" spans="1:9">
      <c r="A26" s="5" t="s">
        <v>60</v>
      </c>
      <c r="B26" s="6" t="s">
        <v>61</v>
      </c>
      <c r="C26" s="7">
        <v>81</v>
      </c>
      <c r="D26" s="8">
        <v>83.3333333333333</v>
      </c>
      <c r="E26" s="7">
        <v>92</v>
      </c>
      <c r="F26" s="8">
        <f t="shared" si="0"/>
        <v>85.4666666666666</v>
      </c>
      <c r="G26" s="8">
        <v>81.4285714285714</v>
      </c>
      <c r="H26" s="8">
        <v>77.2</v>
      </c>
      <c r="I26" s="9">
        <f t="shared" si="1"/>
        <v>80.1219047619047</v>
      </c>
    </row>
    <row r="27" spans="1:9">
      <c r="A27" s="5" t="s">
        <v>62</v>
      </c>
      <c r="B27" s="6" t="s">
        <v>63</v>
      </c>
      <c r="C27" s="7">
        <v>89</v>
      </c>
      <c r="D27" s="8">
        <v>80</v>
      </c>
      <c r="E27" s="7">
        <v>99</v>
      </c>
      <c r="F27" s="8">
        <f t="shared" si="0"/>
        <v>87.5</v>
      </c>
      <c r="G27" s="8">
        <v>89.2857142857143</v>
      </c>
      <c r="H27" s="8">
        <v>74.2</v>
      </c>
      <c r="I27" s="9">
        <f t="shared" si="1"/>
        <v>81.3857142857143</v>
      </c>
    </row>
    <row r="28" spans="1:9">
      <c r="A28" s="5" t="s">
        <v>64</v>
      </c>
      <c r="B28" s="6" t="s">
        <v>65</v>
      </c>
      <c r="C28" s="7">
        <v>63</v>
      </c>
      <c r="D28" s="8">
        <v>86.6666666666667</v>
      </c>
      <c r="E28" s="7">
        <v>94</v>
      </c>
      <c r="F28" s="8">
        <f t="shared" si="0"/>
        <v>84.1333333333334</v>
      </c>
      <c r="G28" s="8">
        <v>83.5714285714286</v>
      </c>
      <c r="H28" s="8">
        <v>95.61</v>
      </c>
      <c r="I28" s="9">
        <f t="shared" si="1"/>
        <v>89.7030952380953</v>
      </c>
    </row>
    <row r="29" spans="1:9">
      <c r="A29" s="5" t="s">
        <v>66</v>
      </c>
      <c r="B29" s="6" t="s">
        <v>67</v>
      </c>
      <c r="C29" s="7">
        <v>81</v>
      </c>
      <c r="D29" s="8">
        <v>83.3333333333333</v>
      </c>
      <c r="E29" s="7">
        <v>97</v>
      </c>
      <c r="F29" s="8">
        <f t="shared" si="0"/>
        <v>86.9666666666666</v>
      </c>
      <c r="G29" s="8">
        <v>93.5714285714286</v>
      </c>
      <c r="H29" s="8">
        <v>69.5</v>
      </c>
      <c r="I29" s="9">
        <f t="shared" si="1"/>
        <v>80.2147619047619</v>
      </c>
    </row>
    <row r="30" spans="1:9">
      <c r="A30" s="5" t="s">
        <v>68</v>
      </c>
      <c r="B30" s="6" t="s">
        <v>69</v>
      </c>
      <c r="C30" s="7">
        <v>89</v>
      </c>
      <c r="D30" s="8">
        <v>77.7777777777778</v>
      </c>
      <c r="E30" s="7">
        <v>99</v>
      </c>
      <c r="F30" s="8">
        <f t="shared" si="0"/>
        <v>86.3888888888889</v>
      </c>
      <c r="G30" s="8">
        <v>82.8571428571429</v>
      </c>
      <c r="H30" s="8">
        <v>77.1</v>
      </c>
      <c r="I30" s="9">
        <f t="shared" si="1"/>
        <v>80.6849206349207</v>
      </c>
    </row>
    <row r="31" spans="1:9">
      <c r="A31" s="5" t="s">
        <v>70</v>
      </c>
      <c r="B31" s="6" t="s">
        <v>71</v>
      </c>
      <c r="C31" s="7">
        <v>64</v>
      </c>
      <c r="D31" s="8">
        <v>76.6666666666667</v>
      </c>
      <c r="E31" s="7">
        <v>91</v>
      </c>
      <c r="F31" s="8">
        <f t="shared" si="0"/>
        <v>78.4333333333334</v>
      </c>
      <c r="G31" s="8">
        <v>74.2857142857143</v>
      </c>
      <c r="H31" s="8">
        <v>75.39</v>
      </c>
      <c r="I31" s="9">
        <f t="shared" si="1"/>
        <v>75.667380952381</v>
      </c>
    </row>
    <row r="32" spans="1:9">
      <c r="A32" s="5" t="s">
        <v>72</v>
      </c>
      <c r="B32" s="6" t="s">
        <v>73</v>
      </c>
      <c r="C32" s="7">
        <v>81</v>
      </c>
      <c r="D32" s="8">
        <v>70</v>
      </c>
      <c r="E32" s="7">
        <v>96</v>
      </c>
      <c r="F32" s="8">
        <f t="shared" si="0"/>
        <v>80</v>
      </c>
      <c r="G32" s="8">
        <v>80</v>
      </c>
      <c r="H32" s="8">
        <v>74.6</v>
      </c>
      <c r="I32" s="9">
        <f t="shared" si="1"/>
        <v>77.3</v>
      </c>
    </row>
    <row r="33" spans="1:9">
      <c r="A33" s="5" t="s">
        <v>74</v>
      </c>
      <c r="B33" s="6" t="s">
        <v>75</v>
      </c>
      <c r="C33" s="7">
        <v>73</v>
      </c>
      <c r="D33" s="8">
        <v>67.7777777777778</v>
      </c>
      <c r="E33" s="7">
        <v>88</v>
      </c>
      <c r="F33" s="8">
        <f t="shared" si="0"/>
        <v>74.8888888888889</v>
      </c>
      <c r="G33" s="8">
        <v>80</v>
      </c>
      <c r="H33" s="8">
        <v>77.1</v>
      </c>
      <c r="I33" s="9">
        <f t="shared" si="1"/>
        <v>77.5277777777778</v>
      </c>
    </row>
    <row r="34" spans="1:9">
      <c r="A34" s="5" t="s">
        <v>76</v>
      </c>
      <c r="B34" s="6" t="s">
        <v>77</v>
      </c>
      <c r="C34" s="7">
        <v>81</v>
      </c>
      <c r="D34" s="8">
        <v>66.6666666666667</v>
      </c>
      <c r="E34" s="7">
        <v>97</v>
      </c>
      <c r="F34" s="8">
        <f t="shared" si="0"/>
        <v>78.6333333333333</v>
      </c>
      <c r="G34" s="8">
        <v>84.2857142857143</v>
      </c>
      <c r="H34" s="8">
        <v>89.51</v>
      </c>
      <c r="I34" s="9">
        <f t="shared" si="1"/>
        <v>85.767380952381</v>
      </c>
    </row>
    <row r="35" spans="1:9">
      <c r="A35" s="5" t="s">
        <v>78</v>
      </c>
      <c r="B35" s="6" t="s">
        <v>79</v>
      </c>
      <c r="C35" s="7">
        <v>80</v>
      </c>
      <c r="D35" s="8">
        <v>71.1111111111111</v>
      </c>
      <c r="E35" s="7">
        <v>98</v>
      </c>
      <c r="F35" s="8">
        <f t="shared" si="0"/>
        <v>80.9555555555555</v>
      </c>
      <c r="G35" s="8">
        <v>81.4285714285714</v>
      </c>
      <c r="H35" s="8">
        <v>67.1</v>
      </c>
      <c r="I35" s="9">
        <f t="shared" si="1"/>
        <v>74.1696825396825</v>
      </c>
    </row>
    <row r="36" spans="1:9">
      <c r="A36" s="5" t="s">
        <v>80</v>
      </c>
      <c r="B36" s="6" t="s">
        <v>81</v>
      </c>
      <c r="C36" s="7">
        <v>89</v>
      </c>
      <c r="D36" s="8">
        <v>81.1111111111111</v>
      </c>
      <c r="E36" s="7">
        <v>96</v>
      </c>
      <c r="F36" s="8">
        <f t="shared" si="0"/>
        <v>87.1555555555556</v>
      </c>
      <c r="G36" s="8">
        <v>85.7142857142857</v>
      </c>
      <c r="H36" s="8">
        <v>75.7</v>
      </c>
      <c r="I36" s="9">
        <f t="shared" si="1"/>
        <v>80.9953968253968</v>
      </c>
    </row>
    <row r="37" spans="1:9">
      <c r="A37" s="5" t="s">
        <v>82</v>
      </c>
      <c r="B37" s="6" t="s">
        <v>83</v>
      </c>
      <c r="C37" s="7">
        <v>73</v>
      </c>
      <c r="D37" s="8">
        <v>80</v>
      </c>
      <c r="E37" s="7">
        <v>90</v>
      </c>
      <c r="F37" s="8">
        <f t="shared" ref="F37:F53" si="2">C37*0.2+D37*0.5+E37*0.3</f>
        <v>81.6</v>
      </c>
      <c r="G37" s="8">
        <v>78.5714285714286</v>
      </c>
      <c r="H37" s="8">
        <v>86.5</v>
      </c>
      <c r="I37" s="9">
        <f t="shared" ref="I37:I53" si="3">F37*0.2+H37*0.5+G37*0.3</f>
        <v>83.1414285714286</v>
      </c>
    </row>
    <row r="38" spans="1:9">
      <c r="A38" s="5" t="s">
        <v>84</v>
      </c>
      <c r="B38" s="6" t="s">
        <v>85</v>
      </c>
      <c r="C38" s="7">
        <v>89</v>
      </c>
      <c r="D38" s="8">
        <v>70</v>
      </c>
      <c r="E38" s="7">
        <v>95</v>
      </c>
      <c r="F38" s="8">
        <f t="shared" si="2"/>
        <v>81.3</v>
      </c>
      <c r="G38" s="8">
        <v>78.5714285714286</v>
      </c>
      <c r="H38" s="8">
        <v>81.49</v>
      </c>
      <c r="I38" s="9">
        <f t="shared" si="3"/>
        <v>80.5764285714286</v>
      </c>
    </row>
    <row r="39" spans="1:9">
      <c r="A39" s="5" t="s">
        <v>86</v>
      </c>
      <c r="B39" s="6" t="s">
        <v>87</v>
      </c>
      <c r="C39" s="7">
        <v>81</v>
      </c>
      <c r="D39" s="8">
        <v>83.3333333333333</v>
      </c>
      <c r="E39" s="7">
        <v>92</v>
      </c>
      <c r="F39" s="8">
        <f t="shared" si="2"/>
        <v>85.4666666666666</v>
      </c>
      <c r="G39" s="8">
        <v>81.4285714285714</v>
      </c>
      <c r="H39" s="8">
        <v>93.4</v>
      </c>
      <c r="I39" s="9">
        <f t="shared" si="3"/>
        <v>88.2219047619048</v>
      </c>
    </row>
    <row r="40" spans="1:9">
      <c r="A40" s="5" t="s">
        <v>88</v>
      </c>
      <c r="B40" s="6" t="s">
        <v>89</v>
      </c>
      <c r="C40" s="7">
        <v>64</v>
      </c>
      <c r="D40" s="8">
        <v>80</v>
      </c>
      <c r="E40" s="7">
        <v>91</v>
      </c>
      <c r="F40" s="8">
        <f t="shared" si="2"/>
        <v>80.1</v>
      </c>
      <c r="G40" s="8">
        <v>80</v>
      </c>
      <c r="H40" s="8">
        <v>77.19</v>
      </c>
      <c r="I40" s="9">
        <f t="shared" si="3"/>
        <v>78.615</v>
      </c>
    </row>
    <row r="41" spans="1:9">
      <c r="A41" s="5" t="s">
        <v>90</v>
      </c>
      <c r="B41" s="6" t="s">
        <v>91</v>
      </c>
      <c r="C41" s="7">
        <v>73</v>
      </c>
      <c r="D41" s="8">
        <v>80</v>
      </c>
      <c r="E41" s="7">
        <v>94</v>
      </c>
      <c r="F41" s="8">
        <f t="shared" si="2"/>
        <v>82.8</v>
      </c>
      <c r="G41" s="8">
        <v>80</v>
      </c>
      <c r="H41" s="8">
        <v>90.8</v>
      </c>
      <c r="I41" s="9">
        <f t="shared" si="3"/>
        <v>85.96</v>
      </c>
    </row>
    <row r="42" spans="1:9">
      <c r="A42" s="5" t="s">
        <v>92</v>
      </c>
      <c r="B42" s="6" t="s">
        <v>93</v>
      </c>
      <c r="C42" s="7">
        <v>80</v>
      </c>
      <c r="D42" s="8">
        <v>81.1111111111111</v>
      </c>
      <c r="E42" s="7">
        <v>98</v>
      </c>
      <c r="F42" s="8">
        <f t="shared" si="2"/>
        <v>85.9555555555555</v>
      </c>
      <c r="G42" s="8">
        <v>85.7142857142857</v>
      </c>
      <c r="H42" s="8">
        <v>69</v>
      </c>
      <c r="I42" s="9">
        <f t="shared" si="3"/>
        <v>77.4053968253968</v>
      </c>
    </row>
    <row r="43" spans="1:9">
      <c r="A43" s="5" t="s">
        <v>94</v>
      </c>
      <c r="B43" s="6" t="s">
        <v>95</v>
      </c>
      <c r="C43" s="7">
        <v>89</v>
      </c>
      <c r="D43" s="8">
        <v>82.2222222222222</v>
      </c>
      <c r="E43" s="7">
        <v>97</v>
      </c>
      <c r="F43" s="8">
        <f t="shared" si="2"/>
        <v>88.0111111111111</v>
      </c>
      <c r="G43" s="8">
        <v>84.2857142857143</v>
      </c>
      <c r="H43" s="8">
        <v>81.6</v>
      </c>
      <c r="I43" s="9">
        <f t="shared" si="3"/>
        <v>83.6879365079365</v>
      </c>
    </row>
    <row r="44" spans="1:9">
      <c r="A44" s="5" t="s">
        <v>96</v>
      </c>
      <c r="B44" s="6" t="s">
        <v>97</v>
      </c>
      <c r="C44" s="7">
        <v>0</v>
      </c>
      <c r="D44" s="8">
        <v>0</v>
      </c>
      <c r="E44" s="7">
        <v>72</v>
      </c>
      <c r="F44" s="8">
        <f t="shared" si="2"/>
        <v>21.6</v>
      </c>
      <c r="G44" s="8">
        <v>0</v>
      </c>
      <c r="H44" s="10" t="s">
        <v>162</v>
      </c>
      <c r="I44" s="9">
        <v>4</v>
      </c>
    </row>
    <row r="45" spans="1:9">
      <c r="A45" s="5" t="s">
        <v>98</v>
      </c>
      <c r="B45" s="6" t="s">
        <v>99</v>
      </c>
      <c r="C45" s="7">
        <v>64</v>
      </c>
      <c r="D45" s="8">
        <v>84.4444444444444</v>
      </c>
      <c r="E45" s="7">
        <v>99</v>
      </c>
      <c r="F45" s="8">
        <f t="shared" si="2"/>
        <v>84.7222222222222</v>
      </c>
      <c r="G45" s="8">
        <v>87.1428571428571</v>
      </c>
      <c r="H45" s="8">
        <v>53</v>
      </c>
      <c r="I45" s="9">
        <f t="shared" si="3"/>
        <v>69.5873015873016</v>
      </c>
    </row>
    <row r="46" spans="1:9">
      <c r="A46" s="5" t="s">
        <v>100</v>
      </c>
      <c r="B46" s="6" t="s">
        <v>101</v>
      </c>
      <c r="C46" s="7">
        <v>72</v>
      </c>
      <c r="D46" s="8">
        <v>77.7777777777778</v>
      </c>
      <c r="E46" s="7">
        <v>91</v>
      </c>
      <c r="F46" s="8">
        <f t="shared" si="2"/>
        <v>80.5888888888889</v>
      </c>
      <c r="G46" s="8">
        <v>85</v>
      </c>
      <c r="H46" s="8">
        <v>82.5</v>
      </c>
      <c r="I46" s="9">
        <f t="shared" si="3"/>
        <v>82.8677777777778</v>
      </c>
    </row>
    <row r="47" spans="1:9">
      <c r="A47" s="5" t="s">
        <v>102</v>
      </c>
      <c r="B47" s="6" t="s">
        <v>103</v>
      </c>
      <c r="C47" s="7">
        <v>64</v>
      </c>
      <c r="D47" s="8">
        <v>80</v>
      </c>
      <c r="E47" s="7">
        <v>82</v>
      </c>
      <c r="F47" s="8">
        <f t="shared" si="2"/>
        <v>77.4</v>
      </c>
      <c r="G47" s="8">
        <v>75.7142857142857</v>
      </c>
      <c r="H47" s="8">
        <v>65.39</v>
      </c>
      <c r="I47" s="9">
        <f t="shared" si="3"/>
        <v>70.8892857142857</v>
      </c>
    </row>
    <row r="48" spans="1:9">
      <c r="A48" s="5" t="s">
        <v>104</v>
      </c>
      <c r="B48" s="6" t="s">
        <v>105</v>
      </c>
      <c r="C48" s="7">
        <v>55</v>
      </c>
      <c r="D48" s="8">
        <v>81.1111111111111</v>
      </c>
      <c r="E48" s="7">
        <v>76</v>
      </c>
      <c r="F48" s="8">
        <f t="shared" si="2"/>
        <v>74.3555555555556</v>
      </c>
      <c r="G48" s="8">
        <v>85</v>
      </c>
      <c r="H48" s="8">
        <v>76.2</v>
      </c>
      <c r="I48" s="9">
        <f t="shared" si="3"/>
        <v>78.4711111111111</v>
      </c>
    </row>
    <row r="49" spans="1:9">
      <c r="A49" s="5" t="s">
        <v>106</v>
      </c>
      <c r="B49" s="6" t="s">
        <v>107</v>
      </c>
      <c r="C49" s="7">
        <v>81</v>
      </c>
      <c r="D49" s="8">
        <v>71.1111111111111</v>
      </c>
      <c r="E49" s="7">
        <v>94</v>
      </c>
      <c r="F49" s="8">
        <f t="shared" si="2"/>
        <v>79.9555555555555</v>
      </c>
      <c r="G49" s="8">
        <v>82.8571428571429</v>
      </c>
      <c r="H49" s="8">
        <v>76.21</v>
      </c>
      <c r="I49" s="9">
        <f t="shared" si="3"/>
        <v>78.953253968254</v>
      </c>
    </row>
    <row r="50" spans="1:9">
      <c r="A50" s="5" t="s">
        <v>108</v>
      </c>
      <c r="B50" s="6" t="s">
        <v>109</v>
      </c>
      <c r="C50" s="7">
        <v>81</v>
      </c>
      <c r="D50" s="8">
        <v>81.1111111111111</v>
      </c>
      <c r="E50" s="7">
        <v>96</v>
      </c>
      <c r="F50" s="8">
        <f t="shared" si="2"/>
        <v>85.5555555555555</v>
      </c>
      <c r="G50" s="8">
        <v>85.7142857142857</v>
      </c>
      <c r="H50" s="8">
        <v>58</v>
      </c>
      <c r="I50" s="9">
        <f t="shared" si="3"/>
        <v>71.8253968253968</v>
      </c>
    </row>
    <row r="51" spans="1:9">
      <c r="A51" s="5" t="s">
        <v>110</v>
      </c>
      <c r="B51" s="6" t="s">
        <v>111</v>
      </c>
      <c r="C51" s="7">
        <v>72</v>
      </c>
      <c r="D51" s="8">
        <v>61.1111111111111</v>
      </c>
      <c r="E51" s="7">
        <v>78</v>
      </c>
      <c r="F51" s="8">
        <f t="shared" si="2"/>
        <v>68.3555555555556</v>
      </c>
      <c r="G51" s="8">
        <v>78.3333333333333</v>
      </c>
      <c r="H51" s="8">
        <v>77.3</v>
      </c>
      <c r="I51" s="9">
        <f t="shared" si="3"/>
        <v>75.8211111111111</v>
      </c>
    </row>
    <row r="52" spans="1:9">
      <c r="A52" s="5" t="s">
        <v>112</v>
      </c>
      <c r="B52" s="6" t="s">
        <v>113</v>
      </c>
      <c r="C52" s="7">
        <v>89</v>
      </c>
      <c r="D52" s="8">
        <v>76.6666666666667</v>
      </c>
      <c r="E52" s="7">
        <v>98</v>
      </c>
      <c r="F52" s="8">
        <f t="shared" si="2"/>
        <v>85.5333333333334</v>
      </c>
      <c r="G52" s="8">
        <v>80</v>
      </c>
      <c r="H52" s="8">
        <v>67.6</v>
      </c>
      <c r="I52" s="9">
        <f t="shared" si="3"/>
        <v>74.9066666666667</v>
      </c>
    </row>
    <row r="53" spans="1:9">
      <c r="A53" s="5" t="s">
        <v>114</v>
      </c>
      <c r="B53" s="6" t="s">
        <v>115</v>
      </c>
      <c r="C53" s="7">
        <v>81</v>
      </c>
      <c r="D53" s="8">
        <v>80</v>
      </c>
      <c r="E53" s="7">
        <v>86</v>
      </c>
      <c r="F53" s="8">
        <f t="shared" si="2"/>
        <v>82</v>
      </c>
      <c r="G53" s="8">
        <v>86.4285714285714</v>
      </c>
      <c r="H53" s="8">
        <v>91.8</v>
      </c>
      <c r="I53" s="9">
        <f t="shared" si="3"/>
        <v>88.2285714285714</v>
      </c>
    </row>
  </sheetData>
  <mergeCells count="7">
    <mergeCell ref="A1:I1"/>
    <mergeCell ref="C2:F2"/>
    <mergeCell ref="A2:A3"/>
    <mergeCell ref="B2:B3"/>
    <mergeCell ref="G2:G3"/>
    <mergeCell ref="H2:H3"/>
    <mergeCell ref="I2:I3"/>
  </mergeCells>
  <printOptions horizontalCentered="1" verticalCentered="1"/>
  <pageMargins left="0.751388888888889" right="0.751388888888889" top="1" bottom="1" header="0.5" footer="0.5"/>
  <pageSetup paperSize="9" scale="92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课堂表现</vt:lpstr>
      <vt:lpstr>课外学习</vt:lpstr>
      <vt:lpstr>期间测验</vt:lpstr>
      <vt:lpstr>实验成绩</vt:lpstr>
      <vt:lpstr>大作业</vt:lpstr>
      <vt:lpstr>汇总成绩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2026-01-20T17:17:00Z</dcterms:created>
  <dcterms:modified xsi:type="dcterms:W3CDTF">2026-04-08T12:22:27Z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10F32E4400F846779E11157884869BA6_13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